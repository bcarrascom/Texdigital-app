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bruno\app_mama\empresa_app\"/>
    </mc:Choice>
  </mc:AlternateContent>
  <xr:revisionPtr revIDLastSave="0" documentId="13_ncr:1_{CF77C21C-D456-4A33-BC91-03A54DC1B3CF}" xr6:coauthVersionLast="47" xr6:coauthVersionMax="47" xr10:uidLastSave="{00000000-0000-0000-0000-000000000000}"/>
  <bookViews>
    <workbookView xWindow="-98" yWindow="-98" windowWidth="21795" windowHeight="12975" firstSheet="1" activeTab="4" xr2:uid="{00000000-000D-0000-FFFF-FFFF00000000}"/>
  </bookViews>
  <sheets>
    <sheet name="Valores" sheetId="1" state="hidden" r:id="rId1"/>
    <sheet name="Nota de venta" sheetId="33" r:id="rId2"/>
    <sheet name="Cotización" sheetId="27" r:id="rId3"/>
    <sheet name="OP" sheetId="34" r:id="rId4"/>
    <sheet name="OP TELAS" sheetId="29" r:id="rId5"/>
    <sheet name="hoja1" sheetId="2" state="hidden" r:id="rId6"/>
    <sheet name="OP cajas" sheetId="32" r:id="rId7"/>
    <sheet name="NV CAJAS (BL)" sheetId="25" r:id="rId8"/>
    <sheet name="Productos" sheetId="35" r:id="rId9"/>
  </sheets>
  <definedNames>
    <definedName name="___Area_de_impresión" localSheetId="2">Cotización!$B$1:$L$119</definedName>
    <definedName name="___Area_de_impresión" localSheetId="4">'OP TELAS'!$B$1:$L$132</definedName>
    <definedName name="__Area_de_impresión" localSheetId="7">'NV CAJAS (BL)'!$C$13:$S$52</definedName>
    <definedName name="_Area_de_impresión" localSheetId="2">Cotización!$B$1:$L$119</definedName>
    <definedName name="_Area_de_impresión" localSheetId="5">hoja1!$A$1:$H$47</definedName>
    <definedName name="_Area_de_impresión" localSheetId="7">'NV CAJAS (BL)'!$C$13:$O$60</definedName>
    <definedName name="_xlnm._FilterDatabase" localSheetId="2" hidden="1">Cotización!$B$112:$I$118</definedName>
    <definedName name="_xlnm.Print_Area" localSheetId="2">Cotización!$A$1:$L$130</definedName>
    <definedName name="_xlnm.Print_Area" localSheetId="3">OP!$A$1:$L$112</definedName>
    <definedName name="_xlnm.Print_Area" localSheetId="6">'OP cajas'!$A$1:$H$29</definedName>
    <definedName name="_xlnm.Print_Area" localSheetId="4">'OP TELAS'!$A$1:$N$110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9" l="1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5" i="29"/>
  <c r="C66" i="29"/>
  <c r="C67" i="29"/>
  <c r="C68" i="29"/>
  <c r="C69" i="29"/>
  <c r="C70" i="29"/>
  <c r="C71" i="29"/>
  <c r="C72" i="29"/>
  <c r="C73" i="29"/>
  <c r="C74" i="29"/>
  <c r="C75" i="29"/>
  <c r="C76" i="29"/>
  <c r="C77" i="29"/>
  <c r="C78" i="29"/>
  <c r="C79" i="29"/>
  <c r="C80" i="29"/>
  <c r="C81" i="29"/>
  <c r="C82" i="29"/>
  <c r="C83" i="29"/>
  <c r="C84" i="29"/>
  <c r="C85" i="29"/>
  <c r="C86" i="29"/>
  <c r="C87" i="29"/>
  <c r="C88" i="29"/>
  <c r="C89" i="29"/>
  <c r="C90" i="29"/>
  <c r="C91" i="29"/>
  <c r="C92" i="29"/>
  <c r="C93" i="29"/>
  <c r="C94" i="29"/>
  <c r="C95" i="29"/>
  <c r="C96" i="29"/>
  <c r="C97" i="29"/>
  <c r="C98" i="29"/>
  <c r="C99" i="29"/>
  <c r="C100" i="29"/>
  <c r="C101" i="29"/>
  <c r="C102" i="29"/>
  <c r="C103" i="29"/>
  <c r="C104" i="29"/>
  <c r="C105" i="29"/>
  <c r="C106" i="29"/>
  <c r="C107" i="29"/>
  <c r="C108" i="29"/>
  <c r="G117" i="33"/>
  <c r="G118" i="33"/>
  <c r="G119" i="33"/>
  <c r="G120" i="33"/>
  <c r="G121" i="33"/>
  <c r="G122" i="33"/>
  <c r="G123" i="33"/>
  <c r="G124" i="33"/>
  <c r="G125" i="33"/>
  <c r="G126" i="33"/>
  <c r="H21" i="27" s="1"/>
  <c r="G127" i="33"/>
  <c r="H22" i="27" s="1"/>
  <c r="G128" i="33"/>
  <c r="H23" i="27" s="1"/>
  <c r="G129" i="33"/>
  <c r="H24" i="27" s="1"/>
  <c r="G130" i="33"/>
  <c r="H25" i="27" s="1"/>
  <c r="G131" i="33"/>
  <c r="H26" i="27" s="1"/>
  <c r="G132" i="33"/>
  <c r="H27" i="27" s="1"/>
  <c r="G133" i="33"/>
  <c r="G134" i="33"/>
  <c r="G135" i="33"/>
  <c r="G136" i="33"/>
  <c r="G137" i="33"/>
  <c r="G138" i="33"/>
  <c r="H33" i="27" s="1"/>
  <c r="G139" i="33"/>
  <c r="H34" i="27" s="1"/>
  <c r="G140" i="33"/>
  <c r="H35" i="27" s="1"/>
  <c r="G141" i="33"/>
  <c r="H36" i="27" s="1"/>
  <c r="G142" i="33"/>
  <c r="G143" i="33"/>
  <c r="G144" i="33"/>
  <c r="G145" i="33"/>
  <c r="G146" i="33"/>
  <c r="H41" i="27" s="1"/>
  <c r="G147" i="33"/>
  <c r="H42" i="27" s="1"/>
  <c r="G148" i="33"/>
  <c r="H43" i="27" s="1"/>
  <c r="G149" i="33"/>
  <c r="G150" i="33"/>
  <c r="G151" i="33"/>
  <c r="G152" i="33"/>
  <c r="G153" i="33"/>
  <c r="G154" i="33"/>
  <c r="G155" i="33"/>
  <c r="G156" i="33"/>
  <c r="G157" i="33"/>
  <c r="G158" i="33"/>
  <c r="H53" i="27" s="1"/>
  <c r="G159" i="33"/>
  <c r="H54" i="27" s="1"/>
  <c r="G160" i="33"/>
  <c r="H55" i="27" s="1"/>
  <c r="G161" i="33"/>
  <c r="H56" i="27" s="1"/>
  <c r="G162" i="33"/>
  <c r="H57" i="27" s="1"/>
  <c r="G163" i="33"/>
  <c r="H58" i="27" s="1"/>
  <c r="G164" i="33"/>
  <c r="H59" i="27" s="1"/>
  <c r="G165" i="33"/>
  <c r="G166" i="33"/>
  <c r="G167" i="33"/>
  <c r="G168" i="33"/>
  <c r="H63" i="27" s="1"/>
  <c r="G169" i="33"/>
  <c r="H64" i="27" s="1"/>
  <c r="G170" i="33"/>
  <c r="H65" i="27" s="1"/>
  <c r="G171" i="33"/>
  <c r="H66" i="27" s="1"/>
  <c r="G172" i="33"/>
  <c r="H67" i="27" s="1"/>
  <c r="G173" i="33"/>
  <c r="H68" i="27" s="1"/>
  <c r="G174" i="33"/>
  <c r="G175" i="33"/>
  <c r="G176" i="33"/>
  <c r="G177" i="33"/>
  <c r="G178" i="33"/>
  <c r="G179" i="33"/>
  <c r="G180" i="33"/>
  <c r="H75" i="27" s="1"/>
  <c r="G181" i="33"/>
  <c r="G182" i="33"/>
  <c r="G183" i="33"/>
  <c r="G184" i="33"/>
  <c r="G185" i="33"/>
  <c r="G186" i="33"/>
  <c r="G187" i="33"/>
  <c r="G188" i="33"/>
  <c r="G189" i="33"/>
  <c r="G190" i="33"/>
  <c r="H85" i="27" s="1"/>
  <c r="G191" i="33"/>
  <c r="H86" i="27" s="1"/>
  <c r="G192" i="33"/>
  <c r="H87" i="27" s="1"/>
  <c r="G193" i="33"/>
  <c r="H88" i="27" s="1"/>
  <c r="G194" i="33"/>
  <c r="H89" i="27" s="1"/>
  <c r="G195" i="33"/>
  <c r="H90" i="27" s="1"/>
  <c r="G196" i="33"/>
  <c r="H91" i="27" s="1"/>
  <c r="G197" i="33"/>
  <c r="G198" i="33"/>
  <c r="H93" i="27" s="1"/>
  <c r="G199" i="33"/>
  <c r="H94" i="27" s="1"/>
  <c r="G200" i="33"/>
  <c r="H95" i="27" s="1"/>
  <c r="G201" i="33"/>
  <c r="H96" i="27" s="1"/>
  <c r="G202" i="33"/>
  <c r="H97" i="27" s="1"/>
  <c r="G203" i="33"/>
  <c r="H98" i="27" s="1"/>
  <c r="G204" i="33"/>
  <c r="H99" i="27" s="1"/>
  <c r="G205" i="33"/>
  <c r="H100" i="27" s="1"/>
  <c r="G206" i="33"/>
  <c r="H101" i="27" s="1"/>
  <c r="G207" i="33"/>
  <c r="H102" i="27" s="1"/>
  <c r="G208" i="33"/>
  <c r="H103" i="27" s="1"/>
  <c r="G209" i="33"/>
  <c r="H104" i="27" s="1"/>
  <c r="G210" i="33"/>
  <c r="H105" i="27" s="1"/>
  <c r="G211" i="33"/>
  <c r="H106" i="27" s="1"/>
  <c r="G212" i="33"/>
  <c r="H107" i="27" s="1"/>
  <c r="G213" i="33"/>
  <c r="G214" i="33"/>
  <c r="G215" i="33"/>
  <c r="G216" i="33"/>
  <c r="C117" i="33"/>
  <c r="H37" i="27"/>
  <c r="H38" i="27"/>
  <c r="H39" i="27"/>
  <c r="H40" i="27"/>
  <c r="H69" i="27"/>
  <c r="H70" i="27"/>
  <c r="H71" i="27"/>
  <c r="H72" i="27"/>
  <c r="H73" i="27"/>
  <c r="H74" i="27"/>
  <c r="D117" i="33"/>
  <c r="E16" i="25"/>
  <c r="F16" i="25"/>
  <c r="K29" i="32"/>
  <c r="K24" i="32"/>
  <c r="K19" i="32"/>
  <c r="D25" i="32"/>
  <c r="D20" i="32"/>
  <c r="D15" i="32"/>
  <c r="C25" i="32"/>
  <c r="C20" i="32"/>
  <c r="C15" i="32"/>
  <c r="C10" i="32"/>
  <c r="D10" i="32"/>
  <c r="D6" i="32"/>
  <c r="D4" i="32"/>
  <c r="E1" i="32"/>
  <c r="O17" i="25"/>
  <c r="O18" i="25"/>
  <c r="O19" i="25"/>
  <c r="O20" i="25"/>
  <c r="O21" i="25"/>
  <c r="O22" i="25"/>
  <c r="O23" i="25"/>
  <c r="BV23" i="25"/>
  <c r="BU23" i="25"/>
  <c r="H16" i="25"/>
  <c r="O16" i="25" s="1"/>
  <c r="H20" i="27"/>
  <c r="H28" i="27"/>
  <c r="H29" i="27"/>
  <c r="H30" i="27"/>
  <c r="H31" i="27"/>
  <c r="H32" i="27"/>
  <c r="H44" i="27"/>
  <c r="H45" i="27"/>
  <c r="H46" i="27"/>
  <c r="H47" i="27"/>
  <c r="H48" i="27"/>
  <c r="H49" i="27"/>
  <c r="H50" i="27"/>
  <c r="H51" i="27"/>
  <c r="H52" i="27"/>
  <c r="H60" i="27"/>
  <c r="H61" i="27"/>
  <c r="H62" i="27"/>
  <c r="H76" i="27"/>
  <c r="H77" i="27"/>
  <c r="H78" i="27"/>
  <c r="H79" i="27"/>
  <c r="H80" i="27"/>
  <c r="H81" i="27"/>
  <c r="H82" i="27"/>
  <c r="H83" i="27"/>
  <c r="H84" i="27"/>
  <c r="H92" i="27"/>
  <c r="H108" i="27"/>
  <c r="H109" i="27"/>
  <c r="H110" i="27"/>
  <c r="H111" i="27"/>
  <c r="Q18" i="25"/>
  <c r="P18" i="25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C61" i="27"/>
  <c r="C62" i="27"/>
  <c r="C63" i="27"/>
  <c r="C64" i="27"/>
  <c r="C65" i="27"/>
  <c r="C66" i="27"/>
  <c r="C67" i="27"/>
  <c r="C68" i="27"/>
  <c r="C69" i="27"/>
  <c r="C70" i="27"/>
  <c r="C71" i="27"/>
  <c r="C72" i="27"/>
  <c r="C73" i="27"/>
  <c r="C74" i="27"/>
  <c r="C75" i="27"/>
  <c r="C76" i="27"/>
  <c r="C77" i="27"/>
  <c r="C78" i="27"/>
  <c r="C79" i="27"/>
  <c r="C80" i="27"/>
  <c r="C81" i="27"/>
  <c r="C82" i="27"/>
  <c r="C83" i="27"/>
  <c r="C84" i="27"/>
  <c r="C85" i="27"/>
  <c r="C86" i="27"/>
  <c r="C87" i="27"/>
  <c r="C88" i="27"/>
  <c r="C89" i="27"/>
  <c r="C90" i="27"/>
  <c r="C91" i="27"/>
  <c r="C92" i="27"/>
  <c r="C93" i="27"/>
  <c r="C94" i="27"/>
  <c r="C95" i="27"/>
  <c r="C96" i="27"/>
  <c r="C97" i="27"/>
  <c r="C98" i="27"/>
  <c r="C99" i="27"/>
  <c r="C100" i="27"/>
  <c r="C101" i="27"/>
  <c r="C102" i="27"/>
  <c r="C103" i="27"/>
  <c r="C104" i="27"/>
  <c r="C105" i="27"/>
  <c r="C106" i="27"/>
  <c r="C107" i="27"/>
  <c r="C108" i="27"/>
  <c r="C109" i="27"/>
  <c r="C110" i="27"/>
  <c r="C111" i="27"/>
  <c r="B12" i="27"/>
  <c r="D12" i="27"/>
  <c r="H17" i="25"/>
  <c r="H18" i="25"/>
  <c r="H19" i="25"/>
  <c r="H20" i="25"/>
  <c r="H21" i="25"/>
  <c r="H22" i="25"/>
  <c r="H23" i="25"/>
  <c r="H10" i="33"/>
  <c r="H11" i="33"/>
  <c r="I11" i="33" s="1"/>
  <c r="H12" i="33"/>
  <c r="H13" i="33"/>
  <c r="H14" i="33"/>
  <c r="H15" i="33"/>
  <c r="H16" i="33"/>
  <c r="H17" i="33"/>
  <c r="H18" i="33"/>
  <c r="H19" i="33"/>
  <c r="H20" i="33"/>
  <c r="I20" i="33" s="1"/>
  <c r="H21" i="33"/>
  <c r="I21" i="33" s="1"/>
  <c r="H22" i="33"/>
  <c r="I22" i="33" s="1"/>
  <c r="H23" i="33"/>
  <c r="I23" i="33" s="1"/>
  <c r="H24" i="33"/>
  <c r="I24" i="33" s="1"/>
  <c r="H25" i="33"/>
  <c r="I25" i="33" s="1"/>
  <c r="H26" i="33"/>
  <c r="H27" i="33"/>
  <c r="H28" i="33"/>
  <c r="H29" i="33"/>
  <c r="H30" i="33"/>
  <c r="I30" i="33" s="1"/>
  <c r="H31" i="33"/>
  <c r="I31" i="33" s="1"/>
  <c r="H32" i="33"/>
  <c r="I32" i="33" s="1"/>
  <c r="H33" i="33"/>
  <c r="I33" i="33" s="1"/>
  <c r="H34" i="33"/>
  <c r="I34" i="33" s="1"/>
  <c r="H35" i="33"/>
  <c r="I35" i="33" s="1"/>
  <c r="H36" i="33"/>
  <c r="I36" i="33" s="1"/>
  <c r="H37" i="33"/>
  <c r="I37" i="33" s="1"/>
  <c r="H38" i="33"/>
  <c r="I38" i="33" s="1"/>
  <c r="H39" i="33"/>
  <c r="I39" i="33" s="1"/>
  <c r="H40" i="33"/>
  <c r="I40" i="33" s="1"/>
  <c r="H41" i="33"/>
  <c r="I41" i="33" s="1"/>
  <c r="H42" i="33"/>
  <c r="H43" i="33"/>
  <c r="H44" i="33"/>
  <c r="I44" i="33" s="1"/>
  <c r="H45" i="33"/>
  <c r="I45" i="33" s="1"/>
  <c r="H46" i="33"/>
  <c r="I46" i="33" s="1"/>
  <c r="H47" i="33"/>
  <c r="I47" i="33" s="1"/>
  <c r="H48" i="33"/>
  <c r="I48" i="33" s="1"/>
  <c r="H49" i="33"/>
  <c r="I49" i="33" s="1"/>
  <c r="H50" i="33"/>
  <c r="I50" i="33" s="1"/>
  <c r="H51" i="33"/>
  <c r="I51" i="33" s="1"/>
  <c r="H52" i="33"/>
  <c r="I52" i="33" s="1"/>
  <c r="H53" i="33"/>
  <c r="I53" i="33" s="1"/>
  <c r="H54" i="33"/>
  <c r="I54" i="33" s="1"/>
  <c r="H55" i="33"/>
  <c r="I55" i="33" s="1"/>
  <c r="H56" i="33"/>
  <c r="I56" i="33" s="1"/>
  <c r="H57" i="33"/>
  <c r="I57" i="33" s="1"/>
  <c r="H58" i="33"/>
  <c r="H59" i="33"/>
  <c r="I59" i="33" s="1"/>
  <c r="H60" i="33"/>
  <c r="I60" i="33" s="1"/>
  <c r="H61" i="33"/>
  <c r="I61" i="33" s="1"/>
  <c r="H62" i="33"/>
  <c r="I62" i="33" s="1"/>
  <c r="H63" i="33"/>
  <c r="I63" i="33" s="1"/>
  <c r="H64" i="33"/>
  <c r="I64" i="33" s="1"/>
  <c r="H65" i="33"/>
  <c r="I65" i="33" s="1"/>
  <c r="H66" i="33"/>
  <c r="I66" i="33" s="1"/>
  <c r="H67" i="33"/>
  <c r="I67" i="33" s="1"/>
  <c r="H68" i="33"/>
  <c r="I68" i="33" s="1"/>
  <c r="H69" i="33"/>
  <c r="I69" i="33" s="1"/>
  <c r="H70" i="33"/>
  <c r="I70" i="33" s="1"/>
  <c r="H71" i="33"/>
  <c r="I71" i="33" s="1"/>
  <c r="H72" i="33"/>
  <c r="I72" i="33" s="1"/>
  <c r="H73" i="33"/>
  <c r="I73" i="33" s="1"/>
  <c r="H74" i="33"/>
  <c r="H75" i="33"/>
  <c r="I75" i="33" s="1"/>
  <c r="H76" i="33"/>
  <c r="I76" i="33" s="1"/>
  <c r="H77" i="33"/>
  <c r="I77" i="33" s="1"/>
  <c r="H78" i="33"/>
  <c r="I78" i="33" s="1"/>
  <c r="H79" i="33"/>
  <c r="I79" i="33" s="1"/>
  <c r="H80" i="33"/>
  <c r="I80" i="33" s="1"/>
  <c r="H81" i="33"/>
  <c r="I81" i="33" s="1"/>
  <c r="H82" i="33"/>
  <c r="I82" i="33" s="1"/>
  <c r="H83" i="33"/>
  <c r="I83" i="33" s="1"/>
  <c r="H84" i="33"/>
  <c r="I84" i="33" s="1"/>
  <c r="H85" i="33"/>
  <c r="I85" i="33" s="1"/>
  <c r="H86" i="33"/>
  <c r="I86" i="33" s="1"/>
  <c r="H87" i="33"/>
  <c r="I87" i="33" s="1"/>
  <c r="H88" i="33"/>
  <c r="I88" i="33" s="1"/>
  <c r="H89" i="33"/>
  <c r="I89" i="33" s="1"/>
  <c r="H90" i="33"/>
  <c r="H91" i="33"/>
  <c r="I91" i="33" s="1"/>
  <c r="H92" i="33"/>
  <c r="I92" i="33" s="1"/>
  <c r="H93" i="33"/>
  <c r="I93" i="33" s="1"/>
  <c r="H94" i="33"/>
  <c r="I94" i="33" s="1"/>
  <c r="H95" i="33"/>
  <c r="I95" i="33" s="1"/>
  <c r="H96" i="33"/>
  <c r="I96" i="33" s="1"/>
  <c r="H97" i="33"/>
  <c r="I97" i="33" s="1"/>
  <c r="H98" i="33"/>
  <c r="I98" i="33" s="1"/>
  <c r="H99" i="33"/>
  <c r="I99" i="33" s="1"/>
  <c r="H100" i="33"/>
  <c r="I100" i="33" s="1"/>
  <c r="H101" i="33"/>
  <c r="I101" i="33" s="1"/>
  <c r="H102" i="33"/>
  <c r="I102" i="33" s="1"/>
  <c r="H103" i="33"/>
  <c r="H104" i="33"/>
  <c r="H105" i="33"/>
  <c r="H106" i="33"/>
  <c r="H107" i="33"/>
  <c r="H108" i="33"/>
  <c r="I108" i="33" s="1"/>
  <c r="H109" i="33"/>
  <c r="I109" i="33" s="1"/>
  <c r="H110" i="33"/>
  <c r="I13" i="33"/>
  <c r="I14" i="33"/>
  <c r="I15" i="33"/>
  <c r="I16" i="33"/>
  <c r="I17" i="33"/>
  <c r="I18" i="33"/>
  <c r="I19" i="33"/>
  <c r="L16" i="25"/>
  <c r="L17" i="25"/>
  <c r="L18" i="25"/>
  <c r="L19" i="25"/>
  <c r="L20" i="25"/>
  <c r="L21" i="25"/>
  <c r="L22" i="25"/>
  <c r="L23" i="25"/>
  <c r="D16" i="25"/>
  <c r="D17" i="25"/>
  <c r="D18" i="25"/>
  <c r="D19" i="25"/>
  <c r="D20" i="25"/>
  <c r="D21" i="25"/>
  <c r="D22" i="25"/>
  <c r="D23" i="25"/>
  <c r="Z17" i="25"/>
  <c r="Z18" i="25"/>
  <c r="Z19" i="25"/>
  <c r="Z20" i="25"/>
  <c r="Z21" i="25"/>
  <c r="Z22" i="25"/>
  <c r="Z23" i="25"/>
  <c r="E17" i="25"/>
  <c r="E18" i="25"/>
  <c r="E19" i="25"/>
  <c r="E20" i="25"/>
  <c r="E21" i="25"/>
  <c r="E22" i="25"/>
  <c r="E23" i="25"/>
  <c r="F17" i="25"/>
  <c r="F18" i="25"/>
  <c r="F19" i="25"/>
  <c r="F20" i="25"/>
  <c r="F21" i="25"/>
  <c r="F22" i="25"/>
  <c r="F23" i="25"/>
  <c r="K10" i="33"/>
  <c r="B13" i="27"/>
  <c r="B14" i="27"/>
  <c r="B15" i="27"/>
  <c r="B16" i="27"/>
  <c r="B17" i="27"/>
  <c r="B18" i="27"/>
  <c r="B19" i="27"/>
  <c r="B20" i="27"/>
  <c r="B21" i="27"/>
  <c r="B22" i="27"/>
  <c r="B23" i="27"/>
  <c r="B24" i="27"/>
  <c r="B25" i="27"/>
  <c r="B26" i="27"/>
  <c r="B27" i="27"/>
  <c r="B28" i="27"/>
  <c r="B29" i="27"/>
  <c r="B30" i="27"/>
  <c r="B31" i="27"/>
  <c r="B32" i="27"/>
  <c r="B33" i="27"/>
  <c r="B34" i="27"/>
  <c r="B35" i="27"/>
  <c r="B36" i="27"/>
  <c r="B37" i="27"/>
  <c r="B38" i="27"/>
  <c r="B39" i="27"/>
  <c r="B40" i="27"/>
  <c r="B41" i="27"/>
  <c r="B42" i="27"/>
  <c r="B43" i="27"/>
  <c r="B44" i="27"/>
  <c r="B45" i="27"/>
  <c r="B46" i="27"/>
  <c r="B47" i="27"/>
  <c r="B48" i="27"/>
  <c r="B49" i="27"/>
  <c r="B50" i="27"/>
  <c r="B51" i="27"/>
  <c r="B52" i="27"/>
  <c r="B53" i="27"/>
  <c r="B54" i="27"/>
  <c r="B55" i="27"/>
  <c r="B56" i="27"/>
  <c r="B57" i="27"/>
  <c r="B58" i="27"/>
  <c r="B59" i="27"/>
  <c r="B60" i="27"/>
  <c r="B61" i="27"/>
  <c r="B62" i="27"/>
  <c r="B63" i="27"/>
  <c r="B64" i="27"/>
  <c r="B65" i="27"/>
  <c r="B66" i="27"/>
  <c r="B67" i="27"/>
  <c r="B68" i="27"/>
  <c r="B69" i="27"/>
  <c r="B70" i="27"/>
  <c r="B71" i="27"/>
  <c r="B72" i="27"/>
  <c r="B73" i="27"/>
  <c r="B74" i="27"/>
  <c r="B75" i="27"/>
  <c r="B76" i="27"/>
  <c r="B77" i="27"/>
  <c r="B78" i="27"/>
  <c r="B79" i="27"/>
  <c r="B80" i="27"/>
  <c r="B81" i="27"/>
  <c r="B82" i="27"/>
  <c r="B83" i="27"/>
  <c r="B84" i="27"/>
  <c r="B85" i="27"/>
  <c r="B86" i="27"/>
  <c r="B87" i="27"/>
  <c r="B88" i="27"/>
  <c r="B89" i="27"/>
  <c r="B90" i="27"/>
  <c r="B91" i="27"/>
  <c r="B92" i="27"/>
  <c r="B93" i="27"/>
  <c r="B94" i="27"/>
  <c r="B95" i="27"/>
  <c r="B96" i="27"/>
  <c r="B97" i="27"/>
  <c r="B98" i="27"/>
  <c r="B99" i="27"/>
  <c r="B100" i="27"/>
  <c r="B101" i="27"/>
  <c r="B102" i="27"/>
  <c r="B103" i="27"/>
  <c r="B104" i="27"/>
  <c r="B105" i="27"/>
  <c r="B106" i="27"/>
  <c r="B107" i="27"/>
  <c r="B108" i="27"/>
  <c r="B109" i="27"/>
  <c r="B110" i="27"/>
  <c r="B111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09" i="27"/>
  <c r="D110" i="27"/>
  <c r="D111" i="27"/>
  <c r="A109" i="34"/>
  <c r="B109" i="34"/>
  <c r="C109" i="34"/>
  <c r="D109" i="34"/>
  <c r="E109" i="34"/>
  <c r="F109" i="34"/>
  <c r="D109" i="33"/>
  <c r="J109" i="33"/>
  <c r="G109" i="34" s="1"/>
  <c r="K109" i="33"/>
  <c r="N9" i="29"/>
  <c r="N10" i="29"/>
  <c r="N11" i="29"/>
  <c r="N12" i="29"/>
  <c r="N13" i="29"/>
  <c r="N14" i="29"/>
  <c r="N15" i="29"/>
  <c r="N16" i="29"/>
  <c r="N17" i="29"/>
  <c r="N18" i="29"/>
  <c r="N19" i="29"/>
  <c r="N20" i="29"/>
  <c r="N21" i="29"/>
  <c r="N22" i="29"/>
  <c r="N23" i="29"/>
  <c r="N24" i="29"/>
  <c r="N25" i="29"/>
  <c r="N26" i="29"/>
  <c r="N27" i="29"/>
  <c r="N28" i="29"/>
  <c r="N29" i="29"/>
  <c r="N30" i="29"/>
  <c r="N31" i="29"/>
  <c r="N32" i="29"/>
  <c r="N33" i="29"/>
  <c r="N34" i="29"/>
  <c r="N35" i="29"/>
  <c r="N36" i="29"/>
  <c r="N37" i="29"/>
  <c r="N38" i="29"/>
  <c r="N39" i="29"/>
  <c r="N40" i="29"/>
  <c r="N41" i="29"/>
  <c r="N42" i="29"/>
  <c r="N43" i="29"/>
  <c r="N44" i="29"/>
  <c r="N45" i="29"/>
  <c r="N46" i="29"/>
  <c r="N47" i="29"/>
  <c r="N48" i="29"/>
  <c r="N49" i="29"/>
  <c r="N50" i="29"/>
  <c r="N51" i="29"/>
  <c r="N52" i="29"/>
  <c r="N53" i="29"/>
  <c r="N54" i="29"/>
  <c r="N55" i="29"/>
  <c r="N56" i="29"/>
  <c r="N57" i="29"/>
  <c r="N58" i="29"/>
  <c r="N59" i="29"/>
  <c r="N60" i="29"/>
  <c r="N61" i="29"/>
  <c r="N62" i="29"/>
  <c r="N63" i="29"/>
  <c r="N64" i="29"/>
  <c r="N65" i="29"/>
  <c r="N66" i="29"/>
  <c r="N67" i="29"/>
  <c r="N68" i="29"/>
  <c r="N69" i="29"/>
  <c r="N70" i="29"/>
  <c r="N71" i="29"/>
  <c r="N72" i="29"/>
  <c r="N73" i="29"/>
  <c r="N74" i="29"/>
  <c r="N75" i="29"/>
  <c r="N76" i="29"/>
  <c r="N77" i="29"/>
  <c r="N78" i="29"/>
  <c r="N79" i="29"/>
  <c r="N80" i="29"/>
  <c r="N81" i="29"/>
  <c r="N82" i="29"/>
  <c r="N83" i="29"/>
  <c r="N84" i="29"/>
  <c r="N85" i="29"/>
  <c r="N86" i="29"/>
  <c r="N87" i="29"/>
  <c r="N88" i="29"/>
  <c r="N89" i="29"/>
  <c r="N90" i="29"/>
  <c r="N91" i="29"/>
  <c r="N92" i="29"/>
  <c r="N93" i="29"/>
  <c r="N94" i="29"/>
  <c r="N95" i="29"/>
  <c r="N96" i="29"/>
  <c r="N97" i="29"/>
  <c r="N98" i="29"/>
  <c r="N99" i="29"/>
  <c r="N100" i="29"/>
  <c r="N101" i="29"/>
  <c r="N102" i="29"/>
  <c r="N103" i="29"/>
  <c r="N104" i="29"/>
  <c r="N105" i="29"/>
  <c r="N106" i="29"/>
  <c r="N107" i="29"/>
  <c r="N108" i="29"/>
  <c r="L17" i="29"/>
  <c r="K30" i="29"/>
  <c r="E10" i="29"/>
  <c r="M10" i="29" s="1"/>
  <c r="E11" i="29"/>
  <c r="H11" i="29" s="1"/>
  <c r="E12" i="29"/>
  <c r="E13" i="29"/>
  <c r="E14" i="29"/>
  <c r="E15" i="29"/>
  <c r="E16" i="29"/>
  <c r="H16" i="29" s="1"/>
  <c r="E17" i="29"/>
  <c r="M17" i="29" s="1"/>
  <c r="E18" i="29"/>
  <c r="M18" i="29" s="1"/>
  <c r="E19" i="29"/>
  <c r="M19" i="29" s="1"/>
  <c r="E20" i="29"/>
  <c r="M20" i="29" s="1"/>
  <c r="E21" i="29"/>
  <c r="M21" i="29" s="1"/>
  <c r="E22" i="29"/>
  <c r="M22" i="29" s="1"/>
  <c r="E23" i="29"/>
  <c r="M23" i="29" s="1"/>
  <c r="E24" i="29"/>
  <c r="M24" i="29" s="1"/>
  <c r="E25" i="29"/>
  <c r="M25" i="29" s="1"/>
  <c r="E26" i="29"/>
  <c r="M26" i="29" s="1"/>
  <c r="E27" i="29"/>
  <c r="H27" i="29" s="1"/>
  <c r="E28" i="29"/>
  <c r="E29" i="29"/>
  <c r="E30" i="29"/>
  <c r="E31" i="29"/>
  <c r="E32" i="29"/>
  <c r="H32" i="29" s="1"/>
  <c r="E33" i="29"/>
  <c r="H33" i="29" s="1"/>
  <c r="E34" i="29"/>
  <c r="M34" i="29" s="1"/>
  <c r="E35" i="29"/>
  <c r="M35" i="29" s="1"/>
  <c r="E36" i="29"/>
  <c r="H36" i="29" s="1"/>
  <c r="E37" i="29"/>
  <c r="H37" i="29" s="1"/>
  <c r="E38" i="29"/>
  <c r="M38" i="29" s="1"/>
  <c r="E39" i="29"/>
  <c r="H39" i="29" s="1"/>
  <c r="E40" i="29"/>
  <c r="H40" i="29" s="1"/>
  <c r="E41" i="29"/>
  <c r="M41" i="29" s="1"/>
  <c r="E42" i="29"/>
  <c r="H42" i="29" s="1"/>
  <c r="E43" i="29"/>
  <c r="H43" i="29" s="1"/>
  <c r="E44" i="29"/>
  <c r="M44" i="29" s="1"/>
  <c r="E45" i="29"/>
  <c r="H45" i="29" s="1"/>
  <c r="E46" i="29"/>
  <c r="H46" i="29" s="1"/>
  <c r="E47" i="29"/>
  <c r="H47" i="29" s="1"/>
  <c r="E48" i="29"/>
  <c r="H48" i="29" s="1"/>
  <c r="E49" i="29"/>
  <c r="H49" i="29" s="1"/>
  <c r="E50" i="29"/>
  <c r="H50" i="29" s="1"/>
  <c r="E51" i="29"/>
  <c r="H51" i="29" s="1"/>
  <c r="E52" i="29"/>
  <c r="H52" i="29" s="1"/>
  <c r="E53" i="29"/>
  <c r="H53" i="29" s="1"/>
  <c r="E54" i="29"/>
  <c r="H54" i="29" s="1"/>
  <c r="E55" i="29"/>
  <c r="H55" i="29" s="1"/>
  <c r="E56" i="29"/>
  <c r="H56" i="29" s="1"/>
  <c r="E57" i="29"/>
  <c r="H57" i="29" s="1"/>
  <c r="E58" i="29"/>
  <c r="H58" i="29" s="1"/>
  <c r="E59" i="29"/>
  <c r="H59" i="29" s="1"/>
  <c r="E60" i="29"/>
  <c r="E61" i="29"/>
  <c r="E62" i="29"/>
  <c r="M62" i="29" s="1"/>
  <c r="E63" i="29"/>
  <c r="E64" i="29"/>
  <c r="E65" i="29"/>
  <c r="H65" i="29" s="1"/>
  <c r="E66" i="29"/>
  <c r="H66" i="29" s="1"/>
  <c r="E67" i="29"/>
  <c r="H67" i="29" s="1"/>
  <c r="E68" i="29"/>
  <c r="H68" i="29" s="1"/>
  <c r="E69" i="29"/>
  <c r="H69" i="29" s="1"/>
  <c r="E70" i="29"/>
  <c r="H70" i="29" s="1"/>
  <c r="E71" i="29"/>
  <c r="M71" i="29" s="1"/>
  <c r="E72" i="29"/>
  <c r="M72" i="29" s="1"/>
  <c r="E73" i="29"/>
  <c r="M73" i="29" s="1"/>
  <c r="E74" i="29"/>
  <c r="M74" i="29" s="1"/>
  <c r="E75" i="29"/>
  <c r="M75" i="29" s="1"/>
  <c r="E76" i="29"/>
  <c r="E77" i="29"/>
  <c r="H77" i="29" s="1"/>
  <c r="E78" i="29"/>
  <c r="H78" i="29" s="1"/>
  <c r="E79" i="29"/>
  <c r="E80" i="29"/>
  <c r="H80" i="29" s="1"/>
  <c r="E81" i="29"/>
  <c r="H81" i="29" s="1"/>
  <c r="E82" i="29"/>
  <c r="E83" i="29"/>
  <c r="H83" i="29" s="1"/>
  <c r="E84" i="29"/>
  <c r="H84" i="29" s="1"/>
  <c r="E85" i="29"/>
  <c r="M85" i="29" s="1"/>
  <c r="E86" i="29"/>
  <c r="H86" i="29" s="1"/>
  <c r="E87" i="29"/>
  <c r="M87" i="29" s="1"/>
  <c r="E88" i="29"/>
  <c r="H88" i="29" s="1"/>
  <c r="E89" i="29"/>
  <c r="H89" i="29" s="1"/>
  <c r="E90" i="29"/>
  <c r="E91" i="29"/>
  <c r="M91" i="29" s="1"/>
  <c r="E92" i="29"/>
  <c r="E93" i="29"/>
  <c r="E94" i="29"/>
  <c r="E95" i="29"/>
  <c r="E96" i="29"/>
  <c r="E97" i="29"/>
  <c r="H97" i="29" s="1"/>
  <c r="E98" i="29"/>
  <c r="H98" i="29" s="1"/>
  <c r="E99" i="29"/>
  <c r="H99" i="29" s="1"/>
  <c r="E100" i="29"/>
  <c r="H100" i="29" s="1"/>
  <c r="E101" i="29"/>
  <c r="H101" i="29" s="1"/>
  <c r="E102" i="29"/>
  <c r="H102" i="29" s="1"/>
  <c r="E103" i="29"/>
  <c r="H103" i="29" s="1"/>
  <c r="E104" i="29"/>
  <c r="H104" i="29" s="1"/>
  <c r="E105" i="29"/>
  <c r="H105" i="29" s="1"/>
  <c r="E106" i="29"/>
  <c r="E107" i="29"/>
  <c r="E108" i="29"/>
  <c r="D10" i="29"/>
  <c r="G10" i="29" s="1"/>
  <c r="D11" i="29"/>
  <c r="G11" i="29" s="1"/>
  <c r="D12" i="29"/>
  <c r="G12" i="29" s="1"/>
  <c r="D13" i="29"/>
  <c r="K13" i="29" s="1"/>
  <c r="D14" i="29"/>
  <c r="G14" i="29" s="1"/>
  <c r="D15" i="29"/>
  <c r="G15" i="29" s="1"/>
  <c r="D16" i="29"/>
  <c r="G16" i="29" s="1"/>
  <c r="D17" i="29"/>
  <c r="G17" i="29" s="1"/>
  <c r="D18" i="29"/>
  <c r="D19" i="29"/>
  <c r="L19" i="29" s="1"/>
  <c r="D20" i="29"/>
  <c r="D21" i="29"/>
  <c r="G21" i="29" s="1"/>
  <c r="D22" i="29"/>
  <c r="D23" i="29"/>
  <c r="D24" i="29"/>
  <c r="D25" i="29"/>
  <c r="D26" i="29"/>
  <c r="D27" i="29"/>
  <c r="D28" i="29"/>
  <c r="L28" i="29" s="1"/>
  <c r="D29" i="29"/>
  <c r="D30" i="29"/>
  <c r="L30" i="29" s="1"/>
  <c r="D31" i="29"/>
  <c r="L31" i="29" s="1"/>
  <c r="D32" i="29"/>
  <c r="L32" i="29" s="1"/>
  <c r="D33" i="29"/>
  <c r="L33" i="29" s="1"/>
  <c r="D34" i="29"/>
  <c r="L34" i="29" s="1"/>
  <c r="D35" i="29"/>
  <c r="L35" i="29" s="1"/>
  <c r="D36" i="29"/>
  <c r="D37" i="29"/>
  <c r="L37" i="29" s="1"/>
  <c r="D38" i="29"/>
  <c r="G38" i="29" s="1"/>
  <c r="D39" i="29"/>
  <c r="G39" i="29" s="1"/>
  <c r="D40" i="29"/>
  <c r="G40" i="29" s="1"/>
  <c r="D41" i="29"/>
  <c r="D42" i="29"/>
  <c r="D43" i="29"/>
  <c r="D44" i="29"/>
  <c r="K44" i="29" s="1"/>
  <c r="D45" i="29"/>
  <c r="K45" i="29" s="1"/>
  <c r="D46" i="29"/>
  <c r="K46" i="29" s="1"/>
  <c r="D47" i="29"/>
  <c r="G47" i="29" s="1"/>
  <c r="D48" i="29"/>
  <c r="L48" i="29" s="1"/>
  <c r="D49" i="29"/>
  <c r="G49" i="29" s="1"/>
  <c r="D50" i="29"/>
  <c r="G50" i="29" s="1"/>
  <c r="D51" i="29"/>
  <c r="G51" i="29" s="1"/>
  <c r="D52" i="29"/>
  <c r="G52" i="29" s="1"/>
  <c r="D53" i="29"/>
  <c r="G53" i="29" s="1"/>
  <c r="D54" i="29"/>
  <c r="G54" i="29" s="1"/>
  <c r="D55" i="29"/>
  <c r="G55" i="29" s="1"/>
  <c r="D56" i="29"/>
  <c r="G56" i="29" s="1"/>
  <c r="D57" i="29"/>
  <c r="G57" i="29" s="1"/>
  <c r="D58" i="29"/>
  <c r="D59" i="29"/>
  <c r="D60" i="29"/>
  <c r="G60" i="29" s="1"/>
  <c r="D61" i="29"/>
  <c r="L61" i="29" s="1"/>
  <c r="D62" i="29"/>
  <c r="G62" i="29" s="1"/>
  <c r="D63" i="29"/>
  <c r="D64" i="29"/>
  <c r="L64" i="29" s="1"/>
  <c r="D65" i="29"/>
  <c r="G65" i="29" s="1"/>
  <c r="D66" i="29"/>
  <c r="G66" i="29" s="1"/>
  <c r="D67" i="29"/>
  <c r="G67" i="29" s="1"/>
  <c r="D68" i="29"/>
  <c r="G68" i="29" s="1"/>
  <c r="D69" i="29"/>
  <c r="G69" i="29" s="1"/>
  <c r="D70" i="29"/>
  <c r="G70" i="29" s="1"/>
  <c r="D71" i="29"/>
  <c r="D72" i="29"/>
  <c r="D73" i="29"/>
  <c r="L73" i="29" s="1"/>
  <c r="D74" i="29"/>
  <c r="D75" i="29"/>
  <c r="G75" i="29" s="1"/>
  <c r="D76" i="29"/>
  <c r="D77" i="29"/>
  <c r="L77" i="29" s="1"/>
  <c r="D78" i="29"/>
  <c r="G78" i="29" s="1"/>
  <c r="D79" i="29"/>
  <c r="G79" i="29" s="1"/>
  <c r="D80" i="29"/>
  <c r="G80" i="29" s="1"/>
  <c r="D81" i="29"/>
  <c r="G81" i="29" s="1"/>
  <c r="D82" i="29"/>
  <c r="G82" i="29" s="1"/>
  <c r="D83" i="29"/>
  <c r="G83" i="29" s="1"/>
  <c r="D84" i="29"/>
  <c r="D85" i="29"/>
  <c r="L85" i="29" s="1"/>
  <c r="D86" i="29"/>
  <c r="D87" i="29"/>
  <c r="L87" i="29" s="1"/>
  <c r="D88" i="29"/>
  <c r="G88" i="29" s="1"/>
  <c r="D89" i="29"/>
  <c r="L89" i="29" s="1"/>
  <c r="D90" i="29"/>
  <c r="G90" i="29" s="1"/>
  <c r="D91" i="29"/>
  <c r="G91" i="29" s="1"/>
  <c r="D92" i="29"/>
  <c r="G92" i="29" s="1"/>
  <c r="D93" i="29"/>
  <c r="G93" i="29" s="1"/>
  <c r="I93" i="29" s="1"/>
  <c r="D94" i="29"/>
  <c r="G94" i="29" s="1"/>
  <c r="D95" i="29"/>
  <c r="G95" i="29" s="1"/>
  <c r="D96" i="29"/>
  <c r="D97" i="29"/>
  <c r="G97" i="29" s="1"/>
  <c r="I97" i="29" s="1"/>
  <c r="D98" i="29"/>
  <c r="K98" i="29" s="1"/>
  <c r="D99" i="29"/>
  <c r="G99" i="29" s="1"/>
  <c r="D100" i="29"/>
  <c r="L100" i="29" s="1"/>
  <c r="D101" i="29"/>
  <c r="L101" i="29" s="1"/>
  <c r="D102" i="29"/>
  <c r="L102" i="29" s="1"/>
  <c r="D103" i="29"/>
  <c r="G103" i="29" s="1"/>
  <c r="D104" i="29"/>
  <c r="L104" i="29" s="1"/>
  <c r="D105" i="29"/>
  <c r="G105" i="29" s="1"/>
  <c r="D106" i="29"/>
  <c r="D107" i="29"/>
  <c r="D108" i="29"/>
  <c r="G108" i="29" s="1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38" i="29"/>
  <c r="B39" i="29"/>
  <c r="B40" i="29"/>
  <c r="B41" i="29"/>
  <c r="B42" i="29"/>
  <c r="B43" i="29"/>
  <c r="B44" i="29"/>
  <c r="B45" i="29"/>
  <c r="B46" i="29"/>
  <c r="B47" i="29"/>
  <c r="B48" i="29"/>
  <c r="B49" i="29"/>
  <c r="B50" i="29"/>
  <c r="B51" i="29"/>
  <c r="B52" i="29"/>
  <c r="B53" i="29"/>
  <c r="B54" i="29"/>
  <c r="B55" i="29"/>
  <c r="B56" i="29"/>
  <c r="B57" i="29"/>
  <c r="B58" i="29"/>
  <c r="B59" i="29"/>
  <c r="B60" i="29"/>
  <c r="B61" i="29"/>
  <c r="B62" i="29"/>
  <c r="B63" i="29"/>
  <c r="B64" i="29"/>
  <c r="B65" i="29"/>
  <c r="B66" i="29"/>
  <c r="B67" i="29"/>
  <c r="B68" i="29"/>
  <c r="B69" i="29"/>
  <c r="B70" i="29"/>
  <c r="B71" i="29"/>
  <c r="B72" i="29"/>
  <c r="B73" i="29"/>
  <c r="B74" i="29"/>
  <c r="B75" i="29"/>
  <c r="B76" i="29"/>
  <c r="B77" i="29"/>
  <c r="B78" i="29"/>
  <c r="B79" i="29"/>
  <c r="B80" i="29"/>
  <c r="B81" i="29"/>
  <c r="B82" i="29"/>
  <c r="B83" i="29"/>
  <c r="B84" i="29"/>
  <c r="B85" i="29"/>
  <c r="B86" i="29"/>
  <c r="B87" i="29"/>
  <c r="B88" i="29"/>
  <c r="B89" i="29"/>
  <c r="B90" i="29"/>
  <c r="B91" i="29"/>
  <c r="B92" i="29"/>
  <c r="B93" i="29"/>
  <c r="B94" i="29"/>
  <c r="B95" i="29"/>
  <c r="B96" i="29"/>
  <c r="B97" i="29"/>
  <c r="B98" i="29"/>
  <c r="B99" i="29"/>
  <c r="B100" i="29"/>
  <c r="B101" i="29"/>
  <c r="B102" i="29"/>
  <c r="B103" i="29"/>
  <c r="B104" i="29"/>
  <c r="B105" i="29"/>
  <c r="B106" i="29"/>
  <c r="B107" i="29"/>
  <c r="B108" i="29"/>
  <c r="B9" i="29"/>
  <c r="L90" i="29"/>
  <c r="L91" i="29"/>
  <c r="L92" i="29"/>
  <c r="L93" i="29"/>
  <c r="M92" i="29"/>
  <c r="M93" i="29"/>
  <c r="M94" i="29"/>
  <c r="M95" i="29"/>
  <c r="M96" i="29"/>
  <c r="M97" i="29"/>
  <c r="M98" i="29"/>
  <c r="H92" i="29"/>
  <c r="H93" i="29"/>
  <c r="H94" i="29"/>
  <c r="H95" i="29"/>
  <c r="H96" i="29"/>
  <c r="L24" i="29"/>
  <c r="L25" i="29"/>
  <c r="L26" i="29"/>
  <c r="L27" i="29"/>
  <c r="H12" i="29"/>
  <c r="H13" i="29"/>
  <c r="M14" i="29"/>
  <c r="H15" i="29"/>
  <c r="H28" i="29"/>
  <c r="H29" i="29"/>
  <c r="M30" i="29"/>
  <c r="H31" i="29"/>
  <c r="G42" i="29"/>
  <c r="H60" i="29"/>
  <c r="M61" i="29"/>
  <c r="L74" i="29"/>
  <c r="H63" i="29"/>
  <c r="M64" i="29"/>
  <c r="H76" i="29"/>
  <c r="H79" i="29"/>
  <c r="H82" i="29"/>
  <c r="F110" i="34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F46" i="34"/>
  <c r="F47" i="34"/>
  <c r="F48" i="34"/>
  <c r="F49" i="34"/>
  <c r="F50" i="34"/>
  <c r="F51" i="34"/>
  <c r="F52" i="34"/>
  <c r="F53" i="34"/>
  <c r="F54" i="34"/>
  <c r="F55" i="34"/>
  <c r="F56" i="34"/>
  <c r="F57" i="34"/>
  <c r="F58" i="34"/>
  <c r="F59" i="34"/>
  <c r="F60" i="34"/>
  <c r="F61" i="34"/>
  <c r="F62" i="34"/>
  <c r="F63" i="34"/>
  <c r="F64" i="34"/>
  <c r="F65" i="34"/>
  <c r="F66" i="34"/>
  <c r="F67" i="34"/>
  <c r="F68" i="34"/>
  <c r="F69" i="34"/>
  <c r="F70" i="34"/>
  <c r="F71" i="34"/>
  <c r="F72" i="34"/>
  <c r="F73" i="34"/>
  <c r="F74" i="34"/>
  <c r="F75" i="34"/>
  <c r="F76" i="34"/>
  <c r="F77" i="34"/>
  <c r="F78" i="34"/>
  <c r="F79" i="34"/>
  <c r="F80" i="34"/>
  <c r="F81" i="34"/>
  <c r="F82" i="34"/>
  <c r="F83" i="34"/>
  <c r="F84" i="34"/>
  <c r="F85" i="34"/>
  <c r="F86" i="34"/>
  <c r="F87" i="34"/>
  <c r="F88" i="34"/>
  <c r="F89" i="34"/>
  <c r="F90" i="34"/>
  <c r="F91" i="34"/>
  <c r="F92" i="34"/>
  <c r="F93" i="34"/>
  <c r="F94" i="34"/>
  <c r="F95" i="34"/>
  <c r="F96" i="34"/>
  <c r="F97" i="34"/>
  <c r="F98" i="34"/>
  <c r="F99" i="34"/>
  <c r="F100" i="34"/>
  <c r="F101" i="34"/>
  <c r="F102" i="34"/>
  <c r="F103" i="34"/>
  <c r="F104" i="34"/>
  <c r="F105" i="34"/>
  <c r="F106" i="34"/>
  <c r="F107" i="34"/>
  <c r="F108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5" i="34"/>
  <c r="E36" i="34"/>
  <c r="E37" i="34"/>
  <c r="E38" i="34"/>
  <c r="E39" i="34"/>
  <c r="E40" i="34"/>
  <c r="E41" i="34"/>
  <c r="E42" i="34"/>
  <c r="E43" i="34"/>
  <c r="E44" i="34"/>
  <c r="E45" i="34"/>
  <c r="E46" i="34"/>
  <c r="E47" i="34"/>
  <c r="E48" i="34"/>
  <c r="E49" i="34"/>
  <c r="E50" i="34"/>
  <c r="E51" i="34"/>
  <c r="E52" i="34"/>
  <c r="E53" i="34"/>
  <c r="E54" i="34"/>
  <c r="E55" i="34"/>
  <c r="E56" i="34"/>
  <c r="E57" i="34"/>
  <c r="E58" i="34"/>
  <c r="E59" i="34"/>
  <c r="E60" i="34"/>
  <c r="E61" i="34"/>
  <c r="E62" i="34"/>
  <c r="E63" i="34"/>
  <c r="E64" i="34"/>
  <c r="E65" i="34"/>
  <c r="E66" i="34"/>
  <c r="E67" i="34"/>
  <c r="E68" i="34"/>
  <c r="E69" i="34"/>
  <c r="E70" i="34"/>
  <c r="E71" i="34"/>
  <c r="E72" i="34"/>
  <c r="E73" i="34"/>
  <c r="E74" i="34"/>
  <c r="E75" i="34"/>
  <c r="E76" i="34"/>
  <c r="E77" i="34"/>
  <c r="E78" i="34"/>
  <c r="E79" i="34"/>
  <c r="E80" i="34"/>
  <c r="E81" i="34"/>
  <c r="E82" i="34"/>
  <c r="E83" i="34"/>
  <c r="E84" i="34"/>
  <c r="E85" i="34"/>
  <c r="E86" i="34"/>
  <c r="E87" i="34"/>
  <c r="E88" i="34"/>
  <c r="E89" i="34"/>
  <c r="E90" i="34"/>
  <c r="E91" i="34"/>
  <c r="E92" i="34"/>
  <c r="E93" i="34"/>
  <c r="E94" i="34"/>
  <c r="E95" i="34"/>
  <c r="E96" i="34"/>
  <c r="E97" i="34"/>
  <c r="E98" i="34"/>
  <c r="E99" i="34"/>
  <c r="E100" i="34"/>
  <c r="E101" i="34"/>
  <c r="E102" i="34"/>
  <c r="E103" i="34"/>
  <c r="E104" i="34"/>
  <c r="E105" i="34"/>
  <c r="E106" i="34"/>
  <c r="E107" i="34"/>
  <c r="E108" i="34"/>
  <c r="E110" i="34"/>
  <c r="D10" i="34"/>
  <c r="D11" i="34"/>
  <c r="D12" i="34"/>
  <c r="D13" i="34"/>
  <c r="D14" i="34"/>
  <c r="D15" i="34"/>
  <c r="D16" i="34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5" i="34"/>
  <c r="D36" i="34"/>
  <c r="D37" i="34"/>
  <c r="D38" i="34"/>
  <c r="D39" i="34"/>
  <c r="D40" i="34"/>
  <c r="D41" i="34"/>
  <c r="D42" i="34"/>
  <c r="D43" i="34"/>
  <c r="D44" i="34"/>
  <c r="D45" i="34"/>
  <c r="D46" i="34"/>
  <c r="D47" i="34"/>
  <c r="D48" i="34"/>
  <c r="D49" i="34"/>
  <c r="D50" i="34"/>
  <c r="D51" i="34"/>
  <c r="D52" i="34"/>
  <c r="D53" i="34"/>
  <c r="D54" i="34"/>
  <c r="D55" i="34"/>
  <c r="D56" i="34"/>
  <c r="D57" i="34"/>
  <c r="D58" i="34"/>
  <c r="D59" i="34"/>
  <c r="D60" i="34"/>
  <c r="D61" i="34"/>
  <c r="D62" i="34"/>
  <c r="D63" i="34"/>
  <c r="D64" i="34"/>
  <c r="D65" i="34"/>
  <c r="D66" i="34"/>
  <c r="D67" i="34"/>
  <c r="D68" i="34"/>
  <c r="D69" i="34"/>
  <c r="D70" i="34"/>
  <c r="D71" i="34"/>
  <c r="D72" i="34"/>
  <c r="D73" i="34"/>
  <c r="D74" i="34"/>
  <c r="D75" i="34"/>
  <c r="D76" i="34"/>
  <c r="D77" i="34"/>
  <c r="D78" i="34"/>
  <c r="D79" i="34"/>
  <c r="D80" i="34"/>
  <c r="D81" i="34"/>
  <c r="D82" i="34"/>
  <c r="D83" i="34"/>
  <c r="D84" i="34"/>
  <c r="D85" i="34"/>
  <c r="D86" i="34"/>
  <c r="D87" i="34"/>
  <c r="D88" i="34"/>
  <c r="D89" i="34"/>
  <c r="D90" i="34"/>
  <c r="D91" i="34"/>
  <c r="D92" i="34"/>
  <c r="D93" i="34"/>
  <c r="D94" i="34"/>
  <c r="D95" i="34"/>
  <c r="D96" i="34"/>
  <c r="D97" i="34"/>
  <c r="D98" i="34"/>
  <c r="D99" i="34"/>
  <c r="D100" i="34"/>
  <c r="D101" i="34"/>
  <c r="D102" i="34"/>
  <c r="D103" i="34"/>
  <c r="D104" i="34"/>
  <c r="D105" i="34"/>
  <c r="D106" i="34"/>
  <c r="D107" i="34"/>
  <c r="D108" i="34"/>
  <c r="D110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10" i="34"/>
  <c r="B10" i="34"/>
  <c r="B11" i="34"/>
  <c r="B12" i="34"/>
  <c r="B13" i="34"/>
  <c r="B14" i="34"/>
  <c r="B15" i="34"/>
  <c r="B16" i="34"/>
  <c r="B17" i="34"/>
  <c r="B18" i="34"/>
  <c r="B19" i="34"/>
  <c r="B20" i="34"/>
  <c r="B21" i="34"/>
  <c r="B22" i="34"/>
  <c r="B23" i="34"/>
  <c r="B24" i="34"/>
  <c r="B25" i="34"/>
  <c r="B26" i="34"/>
  <c r="B27" i="34"/>
  <c r="B28" i="34"/>
  <c r="B29" i="34"/>
  <c r="B30" i="34"/>
  <c r="B31" i="34"/>
  <c r="B32" i="34"/>
  <c r="B33" i="34"/>
  <c r="B34" i="34"/>
  <c r="B35" i="34"/>
  <c r="B36" i="34"/>
  <c r="B37" i="34"/>
  <c r="B38" i="34"/>
  <c r="B39" i="34"/>
  <c r="B40" i="34"/>
  <c r="B41" i="34"/>
  <c r="B42" i="34"/>
  <c r="B43" i="34"/>
  <c r="B44" i="34"/>
  <c r="B45" i="34"/>
  <c r="B46" i="34"/>
  <c r="B47" i="34"/>
  <c r="B48" i="34"/>
  <c r="B49" i="34"/>
  <c r="B50" i="34"/>
  <c r="B51" i="34"/>
  <c r="B52" i="34"/>
  <c r="B53" i="34"/>
  <c r="B54" i="34"/>
  <c r="B55" i="34"/>
  <c r="B56" i="34"/>
  <c r="B57" i="34"/>
  <c r="B58" i="34"/>
  <c r="B59" i="34"/>
  <c r="B60" i="34"/>
  <c r="B61" i="34"/>
  <c r="B62" i="34"/>
  <c r="B63" i="34"/>
  <c r="B64" i="34"/>
  <c r="B65" i="34"/>
  <c r="B66" i="34"/>
  <c r="B67" i="34"/>
  <c r="B68" i="34"/>
  <c r="B69" i="34"/>
  <c r="B70" i="34"/>
  <c r="B71" i="34"/>
  <c r="B72" i="34"/>
  <c r="B73" i="34"/>
  <c r="B74" i="34"/>
  <c r="B75" i="34"/>
  <c r="B76" i="34"/>
  <c r="B77" i="34"/>
  <c r="B78" i="34"/>
  <c r="B79" i="34"/>
  <c r="B80" i="34"/>
  <c r="B81" i="34"/>
  <c r="B82" i="34"/>
  <c r="B83" i="34"/>
  <c r="B84" i="34"/>
  <c r="B85" i="34"/>
  <c r="B86" i="34"/>
  <c r="B87" i="34"/>
  <c r="B88" i="34"/>
  <c r="B89" i="34"/>
  <c r="B90" i="34"/>
  <c r="B91" i="34"/>
  <c r="B92" i="34"/>
  <c r="B93" i="34"/>
  <c r="B94" i="34"/>
  <c r="B95" i="34"/>
  <c r="B96" i="34"/>
  <c r="B97" i="34"/>
  <c r="B98" i="34"/>
  <c r="B99" i="34"/>
  <c r="B100" i="34"/>
  <c r="B101" i="34"/>
  <c r="B102" i="34"/>
  <c r="B103" i="34"/>
  <c r="B104" i="34"/>
  <c r="B105" i="34"/>
  <c r="B106" i="34"/>
  <c r="B107" i="34"/>
  <c r="B108" i="34"/>
  <c r="B110" i="34"/>
  <c r="A10" i="34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1" i="34"/>
  <c r="A32" i="34"/>
  <c r="A33" i="34"/>
  <c r="A34" i="34"/>
  <c r="A35" i="34"/>
  <c r="A36" i="34"/>
  <c r="A37" i="34"/>
  <c r="A38" i="34"/>
  <c r="A39" i="34"/>
  <c r="A40" i="34"/>
  <c r="A41" i="34"/>
  <c r="A42" i="34"/>
  <c r="A43" i="34"/>
  <c r="A44" i="34"/>
  <c r="A45" i="34"/>
  <c r="A46" i="34"/>
  <c r="A47" i="34"/>
  <c r="A48" i="34"/>
  <c r="A49" i="34"/>
  <c r="A50" i="34"/>
  <c r="A51" i="34"/>
  <c r="A52" i="34"/>
  <c r="A53" i="34"/>
  <c r="A54" i="34"/>
  <c r="A55" i="34"/>
  <c r="A56" i="34"/>
  <c r="A57" i="34"/>
  <c r="A58" i="34"/>
  <c r="A59" i="34"/>
  <c r="A60" i="34"/>
  <c r="A61" i="34"/>
  <c r="A62" i="34"/>
  <c r="A63" i="34"/>
  <c r="A64" i="34"/>
  <c r="A65" i="34"/>
  <c r="A66" i="34"/>
  <c r="A67" i="34"/>
  <c r="A68" i="34"/>
  <c r="A69" i="34"/>
  <c r="A70" i="34"/>
  <c r="A71" i="34"/>
  <c r="A72" i="34"/>
  <c r="A73" i="34"/>
  <c r="A74" i="34"/>
  <c r="A75" i="34"/>
  <c r="A76" i="34"/>
  <c r="A77" i="34"/>
  <c r="A78" i="34"/>
  <c r="A79" i="34"/>
  <c r="A80" i="34"/>
  <c r="A81" i="34"/>
  <c r="A82" i="34"/>
  <c r="A83" i="34"/>
  <c r="A84" i="34"/>
  <c r="A85" i="34"/>
  <c r="A86" i="34"/>
  <c r="A87" i="34"/>
  <c r="A88" i="34"/>
  <c r="A89" i="34"/>
  <c r="A90" i="34"/>
  <c r="A91" i="34"/>
  <c r="A92" i="34"/>
  <c r="A93" i="34"/>
  <c r="A94" i="34"/>
  <c r="A95" i="34"/>
  <c r="A96" i="34"/>
  <c r="A97" i="34"/>
  <c r="A98" i="34"/>
  <c r="A99" i="34"/>
  <c r="A100" i="34"/>
  <c r="A101" i="34"/>
  <c r="A102" i="34"/>
  <c r="A103" i="34"/>
  <c r="A104" i="34"/>
  <c r="A105" i="34"/>
  <c r="A106" i="34"/>
  <c r="A107" i="34"/>
  <c r="A108" i="34"/>
  <c r="A110" i="34"/>
  <c r="C8" i="27"/>
  <c r="E119" i="33"/>
  <c r="E120" i="33"/>
  <c r="E125" i="33"/>
  <c r="E126" i="33"/>
  <c r="E128" i="33"/>
  <c r="E131" i="33"/>
  <c r="E132" i="33"/>
  <c r="E133" i="33"/>
  <c r="E135" i="33"/>
  <c r="E136" i="33"/>
  <c r="E138" i="33"/>
  <c r="E139" i="33"/>
  <c r="E141" i="33"/>
  <c r="E144" i="33"/>
  <c r="E145" i="33"/>
  <c r="E146" i="33"/>
  <c r="E147" i="33"/>
  <c r="E154" i="33"/>
  <c r="E155" i="33"/>
  <c r="E157" i="33"/>
  <c r="E160" i="33"/>
  <c r="E163" i="33"/>
  <c r="E164" i="33"/>
  <c r="E165" i="33"/>
  <c r="E167" i="33"/>
  <c r="E168" i="33"/>
  <c r="E170" i="33"/>
  <c r="E171" i="33"/>
  <c r="E173" i="33"/>
  <c r="E176" i="33"/>
  <c r="E180" i="33"/>
  <c r="E181" i="33"/>
  <c r="E183" i="33"/>
  <c r="E184" i="33"/>
  <c r="E186" i="33"/>
  <c r="E187" i="33"/>
  <c r="E188" i="33"/>
  <c r="E189" i="33"/>
  <c r="E190" i="33"/>
  <c r="E191" i="33"/>
  <c r="E192" i="33"/>
  <c r="E202" i="33"/>
  <c r="E203" i="33"/>
  <c r="E205" i="33"/>
  <c r="E207" i="33"/>
  <c r="E208" i="33"/>
  <c r="E209" i="33"/>
  <c r="E210" i="33"/>
  <c r="E211" i="33"/>
  <c r="K17" i="33"/>
  <c r="C124" i="33" s="1"/>
  <c r="D124" i="33" s="1"/>
  <c r="B117" i="33"/>
  <c r="E117" i="33" s="1"/>
  <c r="B118" i="33"/>
  <c r="E118" i="33" s="1"/>
  <c r="B119" i="33"/>
  <c r="B120" i="33"/>
  <c r="B121" i="33"/>
  <c r="B122" i="33"/>
  <c r="B123" i="33"/>
  <c r="B124" i="33"/>
  <c r="B125" i="33"/>
  <c r="B126" i="33"/>
  <c r="B127" i="33"/>
  <c r="B128" i="33"/>
  <c r="B129" i="33"/>
  <c r="B130" i="33"/>
  <c r="B131" i="33"/>
  <c r="B132" i="33"/>
  <c r="B133" i="33"/>
  <c r="B134" i="33"/>
  <c r="E134" i="33" s="1"/>
  <c r="B135" i="33"/>
  <c r="B136" i="33"/>
  <c r="B137" i="33"/>
  <c r="B138" i="33"/>
  <c r="B139" i="33"/>
  <c r="B140" i="33"/>
  <c r="B141" i="33"/>
  <c r="B142" i="33"/>
  <c r="E142" i="33" s="1"/>
  <c r="B143" i="33"/>
  <c r="B144" i="33"/>
  <c r="B145" i="33"/>
  <c r="B146" i="33"/>
  <c r="B147" i="33"/>
  <c r="B148" i="33"/>
  <c r="E148" i="33" s="1"/>
  <c r="B149" i="33"/>
  <c r="B150" i="33"/>
  <c r="E150" i="33" s="1"/>
  <c r="B151" i="33"/>
  <c r="B152" i="33"/>
  <c r="B153" i="33"/>
  <c r="B154" i="33"/>
  <c r="B155" i="33"/>
  <c r="B156" i="33"/>
  <c r="B157" i="33"/>
  <c r="B158" i="33"/>
  <c r="B159" i="33"/>
  <c r="B160" i="33"/>
  <c r="B161" i="33"/>
  <c r="E161" i="33" s="1"/>
  <c r="B162" i="33"/>
  <c r="B163" i="33"/>
  <c r="B164" i="33"/>
  <c r="B165" i="33"/>
  <c r="B166" i="33"/>
  <c r="E166" i="33" s="1"/>
  <c r="B167" i="33"/>
  <c r="B168" i="33"/>
  <c r="B169" i="33"/>
  <c r="B170" i="33"/>
  <c r="B171" i="33"/>
  <c r="B172" i="33"/>
  <c r="B173" i="33"/>
  <c r="B174" i="33"/>
  <c r="E174" i="33" s="1"/>
  <c r="B175" i="33"/>
  <c r="B176" i="33"/>
  <c r="B177" i="33"/>
  <c r="B178" i="33"/>
  <c r="B179" i="33"/>
  <c r="E179" i="33" s="1"/>
  <c r="B180" i="33"/>
  <c r="B181" i="33"/>
  <c r="B182" i="33"/>
  <c r="B183" i="33"/>
  <c r="B184" i="33"/>
  <c r="B185" i="33"/>
  <c r="B186" i="33"/>
  <c r="B187" i="33"/>
  <c r="B188" i="33"/>
  <c r="B189" i="33"/>
  <c r="B190" i="33"/>
  <c r="B191" i="33"/>
  <c r="B192" i="33"/>
  <c r="B193" i="33"/>
  <c r="E193" i="33" s="1"/>
  <c r="B194" i="33"/>
  <c r="E194" i="33" s="1"/>
  <c r="B195" i="33"/>
  <c r="E195" i="33" s="1"/>
  <c r="B196" i="33"/>
  <c r="E196" i="33" s="1"/>
  <c r="B197" i="33"/>
  <c r="E197" i="33" s="1"/>
  <c r="B198" i="33"/>
  <c r="E198" i="33" s="1"/>
  <c r="B199" i="33"/>
  <c r="E199" i="33" s="1"/>
  <c r="B200" i="33"/>
  <c r="B201" i="33"/>
  <c r="B202" i="33"/>
  <c r="B203" i="33"/>
  <c r="B204" i="33"/>
  <c r="B205" i="33"/>
  <c r="B206" i="33"/>
  <c r="B207" i="33"/>
  <c r="B208" i="33"/>
  <c r="B209" i="33"/>
  <c r="B210" i="33"/>
  <c r="B211" i="33"/>
  <c r="B212" i="33"/>
  <c r="E212" i="33" s="1"/>
  <c r="B213" i="33"/>
  <c r="E213" i="33" s="1"/>
  <c r="B214" i="33"/>
  <c r="E214" i="33" s="1"/>
  <c r="B215" i="33"/>
  <c r="E215" i="33" s="1"/>
  <c r="B216" i="33"/>
  <c r="E216" i="33" s="1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108" i="27"/>
  <c r="E109" i="27"/>
  <c r="E110" i="27"/>
  <c r="E1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F27" i="27"/>
  <c r="F28" i="27"/>
  <c r="F29" i="27"/>
  <c r="F30" i="27"/>
  <c r="F31" i="27"/>
  <c r="F32" i="27"/>
  <c r="F33" i="27"/>
  <c r="F34" i="27"/>
  <c r="F35" i="27"/>
  <c r="F36" i="27"/>
  <c r="F37" i="27"/>
  <c r="F38" i="27"/>
  <c r="F39" i="27"/>
  <c r="F40" i="27"/>
  <c r="F41" i="27"/>
  <c r="F42" i="27"/>
  <c r="F43" i="27"/>
  <c r="F44" i="27"/>
  <c r="F45" i="27"/>
  <c r="F46" i="27"/>
  <c r="F47" i="27"/>
  <c r="F48" i="27"/>
  <c r="F49" i="27"/>
  <c r="F50" i="27"/>
  <c r="F51" i="27"/>
  <c r="F52" i="27"/>
  <c r="F53" i="27"/>
  <c r="F54" i="27"/>
  <c r="F55" i="27"/>
  <c r="F56" i="27"/>
  <c r="F57" i="27"/>
  <c r="F58" i="27"/>
  <c r="F59" i="27"/>
  <c r="F60" i="27"/>
  <c r="F61" i="27"/>
  <c r="F62" i="27"/>
  <c r="F63" i="27"/>
  <c r="F64" i="27"/>
  <c r="F65" i="27"/>
  <c r="F66" i="27"/>
  <c r="F67" i="27"/>
  <c r="F68" i="27"/>
  <c r="F69" i="27"/>
  <c r="F70" i="27"/>
  <c r="F71" i="27"/>
  <c r="F72" i="27"/>
  <c r="F73" i="27"/>
  <c r="F74" i="27"/>
  <c r="F75" i="27"/>
  <c r="F76" i="27"/>
  <c r="F77" i="27"/>
  <c r="F78" i="27"/>
  <c r="F79" i="27"/>
  <c r="F80" i="27"/>
  <c r="F81" i="27"/>
  <c r="F82" i="27"/>
  <c r="F83" i="27"/>
  <c r="F84" i="27"/>
  <c r="F85" i="27"/>
  <c r="F86" i="27"/>
  <c r="F87" i="27"/>
  <c r="F88" i="27"/>
  <c r="F89" i="27"/>
  <c r="F90" i="27"/>
  <c r="F91" i="27"/>
  <c r="F92" i="27"/>
  <c r="F93" i="27"/>
  <c r="F94" i="27"/>
  <c r="F95" i="27"/>
  <c r="F96" i="27"/>
  <c r="F97" i="27"/>
  <c r="F98" i="27"/>
  <c r="F99" i="27"/>
  <c r="F100" i="27"/>
  <c r="F101" i="27"/>
  <c r="F102" i="27"/>
  <c r="F103" i="27"/>
  <c r="F104" i="27"/>
  <c r="F105" i="27"/>
  <c r="F106" i="27"/>
  <c r="F107" i="27"/>
  <c r="F108" i="27"/>
  <c r="F109" i="27"/>
  <c r="F110" i="27"/>
  <c r="F111" i="27"/>
  <c r="D10" i="33"/>
  <c r="D56" i="33"/>
  <c r="D57" i="33"/>
  <c r="D58" i="33"/>
  <c r="D59" i="33"/>
  <c r="D60" i="33"/>
  <c r="D61" i="33"/>
  <c r="D62" i="33"/>
  <c r="D63" i="33"/>
  <c r="D64" i="33"/>
  <c r="D65" i="33"/>
  <c r="D66" i="33"/>
  <c r="D67" i="33"/>
  <c r="D68" i="33"/>
  <c r="D69" i="33"/>
  <c r="D70" i="33"/>
  <c r="D71" i="33"/>
  <c r="D72" i="33"/>
  <c r="D73" i="33"/>
  <c r="D74" i="33"/>
  <c r="D75" i="33"/>
  <c r="D76" i="33"/>
  <c r="D77" i="33"/>
  <c r="D78" i="33"/>
  <c r="D79" i="33"/>
  <c r="D80" i="33"/>
  <c r="D81" i="33"/>
  <c r="D82" i="33"/>
  <c r="I58" i="33"/>
  <c r="I74" i="33"/>
  <c r="J56" i="33"/>
  <c r="G58" i="27" s="1"/>
  <c r="J57" i="33"/>
  <c r="G59" i="27" s="1"/>
  <c r="J58" i="33"/>
  <c r="G60" i="27" s="1"/>
  <c r="J59" i="33"/>
  <c r="G61" i="27" s="1"/>
  <c r="J60" i="33"/>
  <c r="G62" i="27" s="1"/>
  <c r="J61" i="33"/>
  <c r="J62" i="33"/>
  <c r="J63" i="33"/>
  <c r="G65" i="27" s="1"/>
  <c r="J64" i="33"/>
  <c r="J65" i="33"/>
  <c r="J66" i="33"/>
  <c r="G68" i="27" s="1"/>
  <c r="J67" i="33"/>
  <c r="G69" i="27" s="1"/>
  <c r="J68" i="33"/>
  <c r="J69" i="33"/>
  <c r="G71" i="27" s="1"/>
  <c r="J70" i="33"/>
  <c r="J71" i="33"/>
  <c r="J72" i="33"/>
  <c r="G74" i="27" s="1"/>
  <c r="J73" i="33"/>
  <c r="J74" i="33"/>
  <c r="J75" i="33"/>
  <c r="G77" i="27" s="1"/>
  <c r="J76" i="33"/>
  <c r="G78" i="27" s="1"/>
  <c r="J77" i="33"/>
  <c r="J78" i="33"/>
  <c r="J79" i="33"/>
  <c r="G81" i="27" s="1"/>
  <c r="J80" i="33"/>
  <c r="J81" i="33"/>
  <c r="J82" i="33"/>
  <c r="G84" i="27" s="1"/>
  <c r="K56" i="33"/>
  <c r="C163" i="33" s="1"/>
  <c r="I163" i="33" s="1"/>
  <c r="K57" i="33"/>
  <c r="C164" i="33" s="1"/>
  <c r="D164" i="33" s="1"/>
  <c r="K58" i="33"/>
  <c r="C165" i="33" s="1"/>
  <c r="D165" i="33" s="1"/>
  <c r="K59" i="33"/>
  <c r="C166" i="33" s="1"/>
  <c r="D166" i="33" s="1"/>
  <c r="K60" i="33"/>
  <c r="C167" i="33" s="1"/>
  <c r="D167" i="33" s="1"/>
  <c r="K61" i="33"/>
  <c r="C168" i="33" s="1"/>
  <c r="I168" i="33" s="1"/>
  <c r="K62" i="33"/>
  <c r="C169" i="33" s="1"/>
  <c r="D169" i="33" s="1"/>
  <c r="K63" i="33"/>
  <c r="C170" i="33" s="1"/>
  <c r="D170" i="33" s="1"/>
  <c r="K64" i="33"/>
  <c r="C171" i="33" s="1"/>
  <c r="K65" i="33"/>
  <c r="C172" i="33" s="1"/>
  <c r="I172" i="33" s="1"/>
  <c r="K66" i="33"/>
  <c r="C173" i="33" s="1"/>
  <c r="K67" i="33"/>
  <c r="C174" i="33" s="1"/>
  <c r="K68" i="33"/>
  <c r="C175" i="33" s="1"/>
  <c r="K69" i="33"/>
  <c r="C176" i="33" s="1"/>
  <c r="K70" i="33"/>
  <c r="C177" i="33" s="1"/>
  <c r="I177" i="33" s="1"/>
  <c r="K71" i="33"/>
  <c r="C178" i="33" s="1"/>
  <c r="I178" i="33" s="1"/>
  <c r="K72" i="33"/>
  <c r="C179" i="33" s="1"/>
  <c r="I179" i="33" s="1"/>
  <c r="K73" i="33"/>
  <c r="C180" i="33" s="1"/>
  <c r="I180" i="33" s="1"/>
  <c r="K74" i="33"/>
  <c r="C181" i="33" s="1"/>
  <c r="I181" i="33" s="1"/>
  <c r="K75" i="33"/>
  <c r="C182" i="33" s="1"/>
  <c r="D182" i="33" s="1"/>
  <c r="K76" i="33"/>
  <c r="C183" i="33" s="1"/>
  <c r="D183" i="33" s="1"/>
  <c r="K77" i="33"/>
  <c r="C184" i="33" s="1"/>
  <c r="D184" i="33" s="1"/>
  <c r="K78" i="33"/>
  <c r="C185" i="33" s="1"/>
  <c r="D185" i="33" s="1"/>
  <c r="K79" i="33"/>
  <c r="C186" i="33" s="1"/>
  <c r="D186" i="33" s="1"/>
  <c r="K80" i="33"/>
  <c r="C187" i="33" s="1"/>
  <c r="K81" i="33"/>
  <c r="C188" i="33" s="1"/>
  <c r="I188" i="33" s="1"/>
  <c r="K82" i="33"/>
  <c r="C189" i="33" s="1"/>
  <c r="I189" i="33" s="1"/>
  <c r="D18" i="33"/>
  <c r="D19" i="33"/>
  <c r="D20" i="33"/>
  <c r="D21" i="33"/>
  <c r="D22" i="33"/>
  <c r="D23" i="33"/>
  <c r="D24" i="33"/>
  <c r="D25" i="33"/>
  <c r="D26" i="33"/>
  <c r="D27" i="33"/>
  <c r="D28" i="33"/>
  <c r="D29" i="33"/>
  <c r="D30" i="33"/>
  <c r="D31" i="33"/>
  <c r="D32" i="33"/>
  <c r="I26" i="33"/>
  <c r="I27" i="33"/>
  <c r="I28" i="33"/>
  <c r="I29" i="33"/>
  <c r="J18" i="33"/>
  <c r="G20" i="27" s="1"/>
  <c r="J19" i="33"/>
  <c r="G21" i="27" s="1"/>
  <c r="J20" i="33"/>
  <c r="G22" i="27" s="1"/>
  <c r="J21" i="33"/>
  <c r="G23" i="27" s="1"/>
  <c r="J22" i="33"/>
  <c r="G24" i="27" s="1"/>
  <c r="J23" i="33"/>
  <c r="G25" i="27" s="1"/>
  <c r="J24" i="33"/>
  <c r="G26" i="27" s="1"/>
  <c r="J25" i="33"/>
  <c r="G27" i="27" s="1"/>
  <c r="J26" i="33"/>
  <c r="J27" i="33"/>
  <c r="G29" i="27" s="1"/>
  <c r="J28" i="33"/>
  <c r="J29" i="33"/>
  <c r="J30" i="33"/>
  <c r="G32" i="27" s="1"/>
  <c r="J31" i="33"/>
  <c r="J32" i="33"/>
  <c r="K18" i="33"/>
  <c r="C125" i="33" s="1"/>
  <c r="K19" i="33"/>
  <c r="C126" i="33" s="1"/>
  <c r="I126" i="33" s="1"/>
  <c r="K20" i="33"/>
  <c r="C127" i="33" s="1"/>
  <c r="I127" i="33" s="1"/>
  <c r="K21" i="33"/>
  <c r="C128" i="33" s="1"/>
  <c r="K22" i="33"/>
  <c r="C129" i="33" s="1"/>
  <c r="I129" i="33" s="1"/>
  <c r="K23" i="33"/>
  <c r="C130" i="33" s="1"/>
  <c r="I130" i="33" s="1"/>
  <c r="K24" i="33"/>
  <c r="C131" i="33" s="1"/>
  <c r="I131" i="33" s="1"/>
  <c r="K25" i="33"/>
  <c r="C132" i="33" s="1"/>
  <c r="D132" i="33" s="1"/>
  <c r="K26" i="33"/>
  <c r="C133" i="33" s="1"/>
  <c r="D133" i="33" s="1"/>
  <c r="K27" i="33"/>
  <c r="C134" i="33" s="1"/>
  <c r="I134" i="33" s="1"/>
  <c r="K28" i="33"/>
  <c r="C135" i="33" s="1"/>
  <c r="I135" i="33" s="1"/>
  <c r="K29" i="33"/>
  <c r="C136" i="33" s="1"/>
  <c r="D136" i="33" s="1"/>
  <c r="K30" i="33"/>
  <c r="C137" i="33" s="1"/>
  <c r="D137" i="33" s="1"/>
  <c r="K31" i="33"/>
  <c r="C138" i="33" s="1"/>
  <c r="D138" i="33" s="1"/>
  <c r="K32" i="33"/>
  <c r="C139" i="33" s="1"/>
  <c r="I139" i="33" s="1"/>
  <c r="D36" i="33"/>
  <c r="D37" i="33"/>
  <c r="D38" i="33"/>
  <c r="D39" i="33"/>
  <c r="D40" i="33"/>
  <c r="D41" i="33"/>
  <c r="D42" i="33"/>
  <c r="D43" i="33"/>
  <c r="D44" i="33"/>
  <c r="D45" i="33"/>
  <c r="D46" i="33"/>
  <c r="D47" i="33"/>
  <c r="D48" i="33"/>
  <c r="D49" i="33"/>
  <c r="D50" i="33"/>
  <c r="D51" i="33"/>
  <c r="D52" i="33"/>
  <c r="D53" i="33"/>
  <c r="D54" i="33"/>
  <c r="D55" i="33"/>
  <c r="D83" i="33"/>
  <c r="D84" i="33"/>
  <c r="D85" i="33"/>
  <c r="D86" i="33"/>
  <c r="I42" i="33"/>
  <c r="I43" i="33"/>
  <c r="J36" i="33"/>
  <c r="G38" i="27" s="1"/>
  <c r="J37" i="33"/>
  <c r="G39" i="27" s="1"/>
  <c r="J38" i="33"/>
  <c r="G40" i="27" s="1"/>
  <c r="J39" i="33"/>
  <c r="G41" i="27" s="1"/>
  <c r="J40" i="33"/>
  <c r="G42" i="27" s="1"/>
  <c r="J41" i="33"/>
  <c r="G43" i="27" s="1"/>
  <c r="J42" i="33"/>
  <c r="J43" i="33"/>
  <c r="G45" i="27" s="1"/>
  <c r="J44" i="33"/>
  <c r="G46" i="27" s="1"/>
  <c r="J45" i="33"/>
  <c r="J46" i="33"/>
  <c r="J47" i="33"/>
  <c r="J48" i="33"/>
  <c r="J49" i="33"/>
  <c r="J50" i="33"/>
  <c r="G52" i="27" s="1"/>
  <c r="J51" i="33"/>
  <c r="J52" i="33"/>
  <c r="J53" i="33"/>
  <c r="G55" i="27" s="1"/>
  <c r="J54" i="33"/>
  <c r="G56" i="27" s="1"/>
  <c r="J55" i="33"/>
  <c r="G57" i="27" s="1"/>
  <c r="J83" i="33"/>
  <c r="J84" i="33"/>
  <c r="J85" i="33"/>
  <c r="J86" i="33"/>
  <c r="G88" i="27" s="1"/>
  <c r="K36" i="33"/>
  <c r="C143" i="33" s="1"/>
  <c r="I143" i="33" s="1"/>
  <c r="K37" i="33"/>
  <c r="C144" i="33" s="1"/>
  <c r="D144" i="33" s="1"/>
  <c r="K38" i="33"/>
  <c r="C145" i="33" s="1"/>
  <c r="I145" i="33" s="1"/>
  <c r="K39" i="33"/>
  <c r="C146" i="33" s="1"/>
  <c r="I146" i="33" s="1"/>
  <c r="K40" i="33"/>
  <c r="C147" i="33" s="1"/>
  <c r="K41" i="33"/>
  <c r="C148" i="33" s="1"/>
  <c r="K42" i="33"/>
  <c r="C149" i="33" s="1"/>
  <c r="I149" i="33" s="1"/>
  <c r="K43" i="33"/>
  <c r="C150" i="33" s="1"/>
  <c r="K44" i="33"/>
  <c r="C151" i="33" s="1"/>
  <c r="K45" i="33"/>
  <c r="C152" i="33" s="1"/>
  <c r="I152" i="33" s="1"/>
  <c r="K46" i="33"/>
  <c r="C153" i="33" s="1"/>
  <c r="D153" i="33" s="1"/>
  <c r="K47" i="33"/>
  <c r="C154" i="33" s="1"/>
  <c r="D154" i="33" s="1"/>
  <c r="K48" i="33"/>
  <c r="C155" i="33" s="1"/>
  <c r="I155" i="33" s="1"/>
  <c r="K49" i="33"/>
  <c r="C156" i="33" s="1"/>
  <c r="I156" i="33" s="1"/>
  <c r="K50" i="33"/>
  <c r="C157" i="33" s="1"/>
  <c r="I157" i="33" s="1"/>
  <c r="K51" i="33"/>
  <c r="C158" i="33" s="1"/>
  <c r="I158" i="33" s="1"/>
  <c r="K52" i="33"/>
  <c r="C159" i="33" s="1"/>
  <c r="I159" i="33" s="1"/>
  <c r="K53" i="33"/>
  <c r="C160" i="33" s="1"/>
  <c r="D160" i="33" s="1"/>
  <c r="K54" i="33"/>
  <c r="C161" i="33" s="1"/>
  <c r="I161" i="33" s="1"/>
  <c r="K55" i="33"/>
  <c r="C162" i="33" s="1"/>
  <c r="I162" i="33" s="1"/>
  <c r="K83" i="33"/>
  <c r="C190" i="33" s="1"/>
  <c r="D190" i="33" s="1"/>
  <c r="K84" i="33"/>
  <c r="C191" i="33" s="1"/>
  <c r="I191" i="33" s="1"/>
  <c r="K85" i="33"/>
  <c r="C192" i="33" s="1"/>
  <c r="K86" i="33"/>
  <c r="C193" i="33" s="1"/>
  <c r="D12" i="33"/>
  <c r="D13" i="33"/>
  <c r="D14" i="33"/>
  <c r="D15" i="33"/>
  <c r="D16" i="33"/>
  <c r="D17" i="33"/>
  <c r="D33" i="33"/>
  <c r="D34" i="33"/>
  <c r="D35" i="33"/>
  <c r="D87" i="33"/>
  <c r="D88" i="33"/>
  <c r="D89" i="33"/>
  <c r="D90" i="33"/>
  <c r="D91" i="33"/>
  <c r="I12" i="33"/>
  <c r="I90" i="33"/>
  <c r="J12" i="33"/>
  <c r="G14" i="27" s="1"/>
  <c r="J13" i="33"/>
  <c r="J14" i="33"/>
  <c r="G16" i="27" s="1"/>
  <c r="J15" i="33"/>
  <c r="G17" i="27" s="1"/>
  <c r="J16" i="33"/>
  <c r="J17" i="33"/>
  <c r="J33" i="33"/>
  <c r="J34" i="33"/>
  <c r="G36" i="27" s="1"/>
  <c r="J35" i="33"/>
  <c r="G37" i="27" s="1"/>
  <c r="J87" i="33"/>
  <c r="J88" i="33"/>
  <c r="J89" i="33"/>
  <c r="J90" i="33"/>
  <c r="G92" i="27" s="1"/>
  <c r="J91" i="33"/>
  <c r="G93" i="27" s="1"/>
  <c r="K12" i="33"/>
  <c r="C119" i="33" s="1"/>
  <c r="D119" i="33" s="1"/>
  <c r="K13" i="33"/>
  <c r="C120" i="33" s="1"/>
  <c r="D120" i="33" s="1"/>
  <c r="K14" i="33"/>
  <c r="C121" i="33" s="1"/>
  <c r="D121" i="33" s="1"/>
  <c r="K15" i="33"/>
  <c r="C122" i="33" s="1"/>
  <c r="D122" i="33" s="1"/>
  <c r="K16" i="33"/>
  <c r="C123" i="33" s="1"/>
  <c r="D123" i="33" s="1"/>
  <c r="K33" i="33"/>
  <c r="C140" i="33" s="1"/>
  <c r="I140" i="33" s="1"/>
  <c r="K34" i="33"/>
  <c r="C141" i="33" s="1"/>
  <c r="I141" i="33" s="1"/>
  <c r="K35" i="33"/>
  <c r="C142" i="33" s="1"/>
  <c r="I142" i="33" s="1"/>
  <c r="K87" i="33"/>
  <c r="C194" i="33" s="1"/>
  <c r="D194" i="33" s="1"/>
  <c r="K88" i="33"/>
  <c r="C195" i="33" s="1"/>
  <c r="D195" i="33" s="1"/>
  <c r="K89" i="33"/>
  <c r="C196" i="33" s="1"/>
  <c r="D196" i="33" s="1"/>
  <c r="K90" i="33"/>
  <c r="C197" i="33" s="1"/>
  <c r="D197" i="33" s="1"/>
  <c r="K91" i="33"/>
  <c r="C198" i="33" s="1"/>
  <c r="I198" i="33" s="1"/>
  <c r="D11" i="33"/>
  <c r="D92" i="33"/>
  <c r="D93" i="33"/>
  <c r="D94" i="33"/>
  <c r="D95" i="33"/>
  <c r="D96" i="33"/>
  <c r="J11" i="33"/>
  <c r="G13" i="27" s="1"/>
  <c r="J92" i="33"/>
  <c r="G94" i="27" s="1"/>
  <c r="J93" i="33"/>
  <c r="J94" i="33"/>
  <c r="J95" i="33"/>
  <c r="G97" i="27" s="1"/>
  <c r="J96" i="33"/>
  <c r="K11" i="33"/>
  <c r="C118" i="33" s="1"/>
  <c r="D118" i="33" s="1"/>
  <c r="K92" i="33"/>
  <c r="C199" i="33" s="1"/>
  <c r="I199" i="33" s="1"/>
  <c r="K93" i="33"/>
  <c r="C200" i="33" s="1"/>
  <c r="D200" i="33" s="1"/>
  <c r="K94" i="33"/>
  <c r="C201" i="33" s="1"/>
  <c r="D201" i="33" s="1"/>
  <c r="K95" i="33"/>
  <c r="C202" i="33" s="1"/>
  <c r="D202" i="33" s="1"/>
  <c r="K96" i="33"/>
  <c r="C203" i="33" s="1"/>
  <c r="D203" i="33" s="1"/>
  <c r="D97" i="33"/>
  <c r="D98" i="33"/>
  <c r="D99" i="33"/>
  <c r="D100" i="33"/>
  <c r="D101" i="33"/>
  <c r="D102" i="33"/>
  <c r="J97" i="33"/>
  <c r="J98" i="33"/>
  <c r="J99" i="33"/>
  <c r="G101" i="27" s="1"/>
  <c r="J100" i="33"/>
  <c r="J101" i="33"/>
  <c r="J102" i="33"/>
  <c r="G104" i="27" s="1"/>
  <c r="K97" i="33"/>
  <c r="C204" i="33" s="1"/>
  <c r="I204" i="33" s="1"/>
  <c r="K98" i="33"/>
  <c r="C205" i="33" s="1"/>
  <c r="I205" i="33" s="1"/>
  <c r="K99" i="33"/>
  <c r="C206" i="33" s="1"/>
  <c r="I206" i="33" s="1"/>
  <c r="K100" i="33"/>
  <c r="C207" i="33" s="1"/>
  <c r="I207" i="33" s="1"/>
  <c r="K101" i="33"/>
  <c r="C208" i="33" s="1"/>
  <c r="D208" i="33" s="1"/>
  <c r="K102" i="33"/>
  <c r="C209" i="33" s="1"/>
  <c r="I209" i="33" s="1"/>
  <c r="D108" i="33"/>
  <c r="J108" i="33"/>
  <c r="K108" i="33"/>
  <c r="C215" i="33" s="1"/>
  <c r="D215" i="33" s="1"/>
  <c r="D2" i="29"/>
  <c r="B5" i="34"/>
  <c r="C7" i="27"/>
  <c r="C5" i="27"/>
  <c r="M108" i="29"/>
  <c r="D2" i="34"/>
  <c r="B7" i="34"/>
  <c r="C5" i="29"/>
  <c r="J103" i="33"/>
  <c r="G105" i="27" s="1"/>
  <c r="J104" i="33"/>
  <c r="G106" i="27" s="1"/>
  <c r="J105" i="33"/>
  <c r="G107" i="27" s="1"/>
  <c r="J106" i="33"/>
  <c r="G108" i="27" s="1"/>
  <c r="J107" i="33"/>
  <c r="J110" i="33"/>
  <c r="I99" i="29" l="1"/>
  <c r="J99" i="29" s="1"/>
  <c r="J93" i="29"/>
  <c r="H132" i="33"/>
  <c r="D181" i="33"/>
  <c r="I133" i="33"/>
  <c r="I136" i="33"/>
  <c r="G69" i="34"/>
  <c r="I132" i="33"/>
  <c r="I27" i="27" s="1"/>
  <c r="G50" i="34"/>
  <c r="D149" i="33"/>
  <c r="D191" i="33"/>
  <c r="H191" i="33" s="1"/>
  <c r="I160" i="33"/>
  <c r="I154" i="33"/>
  <c r="I137" i="33"/>
  <c r="D142" i="33"/>
  <c r="H142" i="33" s="1"/>
  <c r="I195" i="33"/>
  <c r="I90" i="27" s="1"/>
  <c r="G55" i="34"/>
  <c r="I194" i="33"/>
  <c r="G72" i="34"/>
  <c r="D157" i="33"/>
  <c r="D155" i="33"/>
  <c r="H155" i="33" s="1"/>
  <c r="G11" i="34"/>
  <c r="I184" i="33"/>
  <c r="D141" i="33"/>
  <c r="I183" i="33"/>
  <c r="D140" i="33"/>
  <c r="I182" i="33"/>
  <c r="D147" i="33"/>
  <c r="H147" i="33" s="1"/>
  <c r="I147" i="33"/>
  <c r="G49" i="27"/>
  <c r="G47" i="34"/>
  <c r="I138" i="33"/>
  <c r="I33" i="27" s="1"/>
  <c r="I197" i="33"/>
  <c r="I166" i="33"/>
  <c r="D151" i="33"/>
  <c r="I151" i="33"/>
  <c r="I50" i="27"/>
  <c r="I165" i="33"/>
  <c r="I196" i="33"/>
  <c r="D193" i="33"/>
  <c r="H193" i="33" s="1"/>
  <c r="D150" i="33"/>
  <c r="I150" i="33"/>
  <c r="I164" i="33"/>
  <c r="I192" i="33"/>
  <c r="I87" i="27" s="1"/>
  <c r="D192" i="33"/>
  <c r="H192" i="33" s="1"/>
  <c r="D148" i="33"/>
  <c r="H148" i="33" s="1"/>
  <c r="I148" i="33"/>
  <c r="I43" i="27" s="1"/>
  <c r="H195" i="33"/>
  <c r="I28" i="27"/>
  <c r="I170" i="33"/>
  <c r="I169" i="33"/>
  <c r="H136" i="33"/>
  <c r="I167" i="33"/>
  <c r="I144" i="33"/>
  <c r="D187" i="33"/>
  <c r="I187" i="33"/>
  <c r="D171" i="33"/>
  <c r="H171" i="33" s="1"/>
  <c r="I171" i="33"/>
  <c r="I66" i="27" s="1"/>
  <c r="G91" i="27"/>
  <c r="G89" i="34"/>
  <c r="D128" i="33"/>
  <c r="H128" i="33" s="1"/>
  <c r="I128" i="33"/>
  <c r="G111" i="27"/>
  <c r="G110" i="34"/>
  <c r="D125" i="33"/>
  <c r="I125" i="33"/>
  <c r="G76" i="34"/>
  <c r="G75" i="34"/>
  <c r="I186" i="33"/>
  <c r="I185" i="33"/>
  <c r="I215" i="33"/>
  <c r="G54" i="34"/>
  <c r="G53" i="34"/>
  <c r="G87" i="27"/>
  <c r="G85" i="34"/>
  <c r="D176" i="33"/>
  <c r="I176" i="33"/>
  <c r="I153" i="33"/>
  <c r="G86" i="27"/>
  <c r="G84" i="34"/>
  <c r="D175" i="33"/>
  <c r="I175" i="33"/>
  <c r="I202" i="33"/>
  <c r="I97" i="27" s="1"/>
  <c r="G85" i="27"/>
  <c r="G83" i="34"/>
  <c r="D174" i="33"/>
  <c r="H174" i="33" s="1"/>
  <c r="I174" i="33"/>
  <c r="I69" i="27" s="1"/>
  <c r="I201" i="33"/>
  <c r="D173" i="33"/>
  <c r="I173" i="33"/>
  <c r="H138" i="33"/>
  <c r="I200" i="33"/>
  <c r="I193" i="33"/>
  <c r="I88" i="27" s="1"/>
  <c r="I208" i="33"/>
  <c r="D139" i="33"/>
  <c r="I190" i="33"/>
  <c r="H215" i="33"/>
  <c r="D135" i="33"/>
  <c r="I30" i="27" s="1"/>
  <c r="I203" i="33"/>
  <c r="I124" i="33"/>
  <c r="I123" i="33"/>
  <c r="I122" i="33"/>
  <c r="I121" i="33"/>
  <c r="I120" i="33"/>
  <c r="I119" i="33"/>
  <c r="G14" i="34"/>
  <c r="G12" i="34"/>
  <c r="I118" i="33"/>
  <c r="H160" i="33"/>
  <c r="I55" i="27"/>
  <c r="I31" i="27"/>
  <c r="I92" i="27"/>
  <c r="G82" i="34"/>
  <c r="G79" i="34"/>
  <c r="G44" i="34"/>
  <c r="G40" i="34"/>
  <c r="G105" i="34"/>
  <c r="G39" i="34"/>
  <c r="G104" i="34"/>
  <c r="G38" i="34"/>
  <c r="D158" i="33"/>
  <c r="G37" i="34"/>
  <c r="G102" i="34"/>
  <c r="G63" i="34"/>
  <c r="G36" i="34"/>
  <c r="G99" i="34"/>
  <c r="G60" i="34"/>
  <c r="G35" i="34"/>
  <c r="G95" i="34"/>
  <c r="G34" i="34"/>
  <c r="G92" i="34"/>
  <c r="G58" i="34"/>
  <c r="G30" i="34"/>
  <c r="G91" i="34"/>
  <c r="G57" i="34"/>
  <c r="G27" i="34"/>
  <c r="H196" i="33"/>
  <c r="H194" i="33"/>
  <c r="G103" i="34"/>
  <c r="G59" i="34"/>
  <c r="H202" i="33"/>
  <c r="D168" i="33"/>
  <c r="H168" i="33" s="1"/>
  <c r="G90" i="34"/>
  <c r="G56" i="34"/>
  <c r="G15" i="34"/>
  <c r="I37" i="27"/>
  <c r="I86" i="27"/>
  <c r="I63" i="27"/>
  <c r="G109" i="27"/>
  <c r="G107" i="34"/>
  <c r="H90" i="29"/>
  <c r="I90" i="29" s="1"/>
  <c r="J90" i="29" s="1"/>
  <c r="M90" i="29"/>
  <c r="G34" i="27"/>
  <c r="G32" i="34"/>
  <c r="G76" i="27"/>
  <c r="G74" i="34"/>
  <c r="D146" i="33"/>
  <c r="G102" i="27"/>
  <c r="G100" i="34"/>
  <c r="G53" i="27"/>
  <c r="G51" i="34"/>
  <c r="G33" i="27"/>
  <c r="G31" i="34"/>
  <c r="G75" i="27"/>
  <c r="G73" i="34"/>
  <c r="D162" i="33"/>
  <c r="G100" i="27"/>
  <c r="G98" i="34"/>
  <c r="G15" i="27"/>
  <c r="G13" i="34"/>
  <c r="G51" i="27"/>
  <c r="G49" i="34"/>
  <c r="G73" i="27"/>
  <c r="G71" i="34"/>
  <c r="G99" i="27"/>
  <c r="G97" i="34"/>
  <c r="G30" i="27"/>
  <c r="G28" i="34"/>
  <c r="D209" i="33"/>
  <c r="H133" i="33"/>
  <c r="K59" i="29"/>
  <c r="H14" i="27"/>
  <c r="H91" i="29"/>
  <c r="G96" i="29"/>
  <c r="I96" i="29" s="1"/>
  <c r="J96" i="29" s="1"/>
  <c r="K96" i="29"/>
  <c r="G103" i="27"/>
  <c r="G101" i="34"/>
  <c r="G18" i="27"/>
  <c r="G16" i="34"/>
  <c r="G54" i="27"/>
  <c r="G52" i="34"/>
  <c r="E178" i="33"/>
  <c r="D178" i="33"/>
  <c r="E130" i="33"/>
  <c r="D130" i="33"/>
  <c r="E177" i="33"/>
  <c r="D177" i="33"/>
  <c r="E129" i="33"/>
  <c r="D129" i="33"/>
  <c r="D161" i="33"/>
  <c r="E162" i="33"/>
  <c r="G31" i="27"/>
  <c r="G29" i="34"/>
  <c r="E175" i="33"/>
  <c r="E159" i="33"/>
  <c r="E143" i="33"/>
  <c r="D143" i="33"/>
  <c r="E127" i="33"/>
  <c r="D127" i="33"/>
  <c r="G50" i="27"/>
  <c r="G48" i="34"/>
  <c r="G72" i="27"/>
  <c r="G70" i="34"/>
  <c r="E206" i="33"/>
  <c r="E158" i="33"/>
  <c r="D126" i="33"/>
  <c r="D159" i="33"/>
  <c r="G110" i="27"/>
  <c r="G108" i="34"/>
  <c r="D145" i="33"/>
  <c r="G48" i="27"/>
  <c r="G46" i="34"/>
  <c r="D134" i="33"/>
  <c r="G28" i="27"/>
  <c r="G26" i="34"/>
  <c r="D180" i="33"/>
  <c r="G70" i="27"/>
  <c r="G68" i="34"/>
  <c r="E204" i="33"/>
  <c r="E172" i="33"/>
  <c r="E156" i="33"/>
  <c r="D156" i="33"/>
  <c r="E140" i="33"/>
  <c r="D204" i="33"/>
  <c r="D207" i="33"/>
  <c r="G89" i="27"/>
  <c r="G87" i="34"/>
  <c r="D199" i="33"/>
  <c r="G22" i="34"/>
  <c r="K90" i="29"/>
  <c r="D206" i="33"/>
  <c r="K95" i="29"/>
  <c r="D205" i="33"/>
  <c r="D189" i="33"/>
  <c r="G20" i="34"/>
  <c r="L14" i="29"/>
  <c r="K94" i="29"/>
  <c r="D188" i="33"/>
  <c r="E149" i="33"/>
  <c r="G19" i="34"/>
  <c r="K93" i="29"/>
  <c r="H17" i="27"/>
  <c r="G95" i="27"/>
  <c r="G93" i="34"/>
  <c r="G90" i="27"/>
  <c r="G88" i="34"/>
  <c r="G44" i="27"/>
  <c r="G42" i="34"/>
  <c r="G82" i="27"/>
  <c r="G80" i="34"/>
  <c r="G66" i="27"/>
  <c r="G64" i="34"/>
  <c r="K43" i="29"/>
  <c r="G80" i="27"/>
  <c r="G78" i="34"/>
  <c r="G64" i="27"/>
  <c r="G62" i="34"/>
  <c r="E182" i="33"/>
  <c r="E200" i="33"/>
  <c r="E152" i="33"/>
  <c r="G21" i="34"/>
  <c r="G79" i="27"/>
  <c r="G77" i="34"/>
  <c r="G63" i="27"/>
  <c r="G61" i="34"/>
  <c r="E151" i="33"/>
  <c r="G35" i="27"/>
  <c r="G33" i="34"/>
  <c r="D172" i="33"/>
  <c r="G19" i="27"/>
  <c r="G17" i="34"/>
  <c r="D152" i="33"/>
  <c r="G41" i="34"/>
  <c r="G18" i="34"/>
  <c r="D163" i="33"/>
  <c r="E124" i="33"/>
  <c r="H19" i="27" s="1"/>
  <c r="G25" i="34"/>
  <c r="E123" i="33"/>
  <c r="H18" i="27" s="1"/>
  <c r="G67" i="34"/>
  <c r="G43" i="34"/>
  <c r="G24" i="34"/>
  <c r="G98" i="27"/>
  <c r="G96" i="34"/>
  <c r="G47" i="27"/>
  <c r="G45" i="34"/>
  <c r="D179" i="33"/>
  <c r="G96" i="27"/>
  <c r="G94" i="34"/>
  <c r="D198" i="33"/>
  <c r="D131" i="33"/>
  <c r="G83" i="27"/>
  <c r="G81" i="34"/>
  <c r="G67" i="27"/>
  <c r="G65" i="34"/>
  <c r="E201" i="33"/>
  <c r="E185" i="33"/>
  <c r="E169" i="33"/>
  <c r="E153" i="33"/>
  <c r="E137" i="33"/>
  <c r="E121" i="33"/>
  <c r="H16" i="27" s="1"/>
  <c r="E122" i="33"/>
  <c r="G106" i="34"/>
  <c r="G86" i="34"/>
  <c r="G66" i="34"/>
  <c r="G23" i="34"/>
  <c r="K29" i="29"/>
  <c r="I54" i="29"/>
  <c r="J54" i="29" s="1"/>
  <c r="K72" i="29"/>
  <c r="K71" i="29"/>
  <c r="I94" i="29"/>
  <c r="J94" i="29" s="1"/>
  <c r="I95" i="29"/>
  <c r="J95" i="29" s="1"/>
  <c r="I55" i="29"/>
  <c r="K84" i="29"/>
  <c r="G73" i="29"/>
  <c r="G100" i="29"/>
  <c r="K97" i="29"/>
  <c r="I79" i="29"/>
  <c r="J79" i="29" s="1"/>
  <c r="I78" i="29"/>
  <c r="J78" i="29" s="1"/>
  <c r="K58" i="29"/>
  <c r="I92" i="29"/>
  <c r="J92" i="29" s="1"/>
  <c r="I91" i="29"/>
  <c r="J91" i="29" s="1"/>
  <c r="J97" i="29"/>
  <c r="K92" i="29"/>
  <c r="K91" i="29"/>
  <c r="I100" i="29"/>
  <c r="J100" i="29" s="1"/>
  <c r="L99" i="29"/>
  <c r="L98" i="29"/>
  <c r="L97" i="29"/>
  <c r="L96" i="29"/>
  <c r="M33" i="29"/>
  <c r="M100" i="29"/>
  <c r="L95" i="29"/>
  <c r="M16" i="29"/>
  <c r="K76" i="29"/>
  <c r="I53" i="29"/>
  <c r="J53" i="29" s="1"/>
  <c r="I42" i="29"/>
  <c r="J42" i="29" s="1"/>
  <c r="K20" i="29"/>
  <c r="K100" i="29"/>
  <c r="K41" i="29"/>
  <c r="G31" i="29"/>
  <c r="I31" i="29" s="1"/>
  <c r="J31" i="29" s="1"/>
  <c r="K99" i="29"/>
  <c r="M32" i="29"/>
  <c r="M99" i="29"/>
  <c r="L94" i="29"/>
  <c r="M31" i="29"/>
  <c r="M15" i="29"/>
  <c r="G98" i="29"/>
  <c r="I98" i="29" s="1"/>
  <c r="J98" i="29" s="1"/>
  <c r="L10" i="29"/>
  <c r="I65" i="29"/>
  <c r="J65" i="29" s="1"/>
  <c r="G32" i="29"/>
  <c r="G30" i="29"/>
  <c r="L13" i="29"/>
  <c r="K86" i="29"/>
  <c r="L12" i="29"/>
  <c r="L11" i="29"/>
  <c r="I32" i="29"/>
  <c r="J32" i="29" s="1"/>
  <c r="G29" i="29"/>
  <c r="I29" i="29" s="1"/>
  <c r="J29" i="29" s="1"/>
  <c r="K12" i="29"/>
  <c r="I11" i="29"/>
  <c r="J11" i="29" s="1"/>
  <c r="G74" i="29"/>
  <c r="K28" i="29"/>
  <c r="G28" i="29"/>
  <c r="I28" i="29" s="1"/>
  <c r="J28" i="29" s="1"/>
  <c r="G27" i="29"/>
  <c r="I27" i="29" s="1"/>
  <c r="J27" i="29" s="1"/>
  <c r="H35" i="29"/>
  <c r="G26" i="29"/>
  <c r="M49" i="29"/>
  <c r="H34" i="29"/>
  <c r="G25" i="29"/>
  <c r="M48" i="29"/>
  <c r="M47" i="29"/>
  <c r="I16" i="29"/>
  <c r="J16" i="29" s="1"/>
  <c r="M46" i="29"/>
  <c r="L29" i="29"/>
  <c r="I15" i="29"/>
  <c r="J15" i="29" s="1"/>
  <c r="K34" i="29"/>
  <c r="K18" i="29"/>
  <c r="G46" i="29"/>
  <c r="I46" i="29" s="1"/>
  <c r="J46" i="29" s="1"/>
  <c r="H10" i="29"/>
  <c r="I10" i="29" s="1"/>
  <c r="J10" i="29" s="1"/>
  <c r="G13" i="29"/>
  <c r="I13" i="29" s="1"/>
  <c r="J13" i="29" s="1"/>
  <c r="K33" i="29"/>
  <c r="K17" i="29"/>
  <c r="I52" i="29"/>
  <c r="J52" i="29" s="1"/>
  <c r="G45" i="29"/>
  <c r="G35" i="29"/>
  <c r="K32" i="29"/>
  <c r="K16" i="29"/>
  <c r="K63" i="29"/>
  <c r="I51" i="29"/>
  <c r="J51" i="29" s="1"/>
  <c r="G44" i="29"/>
  <c r="G34" i="29"/>
  <c r="K31" i="29"/>
  <c r="K15" i="29"/>
  <c r="G43" i="29"/>
  <c r="I43" i="29" s="1"/>
  <c r="J43" i="29" s="1"/>
  <c r="K47" i="29"/>
  <c r="G33" i="29"/>
  <c r="I33" i="29" s="1"/>
  <c r="J33" i="29" s="1"/>
  <c r="K14" i="29"/>
  <c r="G61" i="29"/>
  <c r="H26" i="29"/>
  <c r="K27" i="29"/>
  <c r="H25" i="29"/>
  <c r="I25" i="29" s="1"/>
  <c r="J25" i="29" s="1"/>
  <c r="K26" i="29"/>
  <c r="H24" i="29"/>
  <c r="K25" i="29"/>
  <c r="H23" i="29"/>
  <c r="G87" i="29"/>
  <c r="L47" i="29"/>
  <c r="H22" i="29"/>
  <c r="L46" i="29"/>
  <c r="K11" i="29"/>
  <c r="H21" i="29"/>
  <c r="I21" i="29" s="1"/>
  <c r="J21" i="29" s="1"/>
  <c r="L45" i="29"/>
  <c r="K10" i="29"/>
  <c r="H20" i="29"/>
  <c r="L72" i="29"/>
  <c r="L44" i="29"/>
  <c r="L18" i="29"/>
  <c r="H19" i="29"/>
  <c r="L71" i="29"/>
  <c r="I50" i="29"/>
  <c r="J50" i="29" s="1"/>
  <c r="L43" i="29"/>
  <c r="H18" i="29"/>
  <c r="G20" i="29"/>
  <c r="L70" i="29"/>
  <c r="L16" i="29"/>
  <c r="H17" i="29"/>
  <c r="I17" i="29" s="1"/>
  <c r="J17" i="29" s="1"/>
  <c r="G19" i="29"/>
  <c r="K23" i="29"/>
  <c r="L69" i="29"/>
  <c r="G48" i="29"/>
  <c r="I48" i="29" s="1"/>
  <c r="J48" i="29" s="1"/>
  <c r="L15" i="29"/>
  <c r="G18" i="29"/>
  <c r="I12" i="29"/>
  <c r="J12" i="29" s="1"/>
  <c r="K22" i="29"/>
  <c r="L59" i="29"/>
  <c r="M29" i="29"/>
  <c r="M13" i="29"/>
  <c r="L23" i="29"/>
  <c r="L58" i="29"/>
  <c r="M28" i="29"/>
  <c r="M12" i="29"/>
  <c r="L22" i="29"/>
  <c r="H30" i="29"/>
  <c r="H14" i="29"/>
  <c r="I14" i="29" s="1"/>
  <c r="J14" i="29" s="1"/>
  <c r="G24" i="29"/>
  <c r="L57" i="29"/>
  <c r="I40" i="29"/>
  <c r="J40" i="29" s="1"/>
  <c r="M27" i="29"/>
  <c r="M11" i="29"/>
  <c r="G23" i="29"/>
  <c r="L56" i="29"/>
  <c r="I39" i="29"/>
  <c r="J39" i="29" s="1"/>
  <c r="L20" i="29"/>
  <c r="G22" i="29"/>
  <c r="I49" i="29"/>
  <c r="J49" i="29" s="1"/>
  <c r="K24" i="29"/>
  <c r="K21" i="29"/>
  <c r="K35" i="29"/>
  <c r="K19" i="29"/>
  <c r="L60" i="29"/>
  <c r="L21" i="29"/>
  <c r="I66" i="29"/>
  <c r="J66" i="29" s="1"/>
  <c r="G86" i="29"/>
  <c r="I86" i="29" s="1"/>
  <c r="J86" i="29" s="1"/>
  <c r="I47" i="29"/>
  <c r="J47" i="29" s="1"/>
  <c r="I45" i="29"/>
  <c r="J45" i="29" s="1"/>
  <c r="K40" i="29"/>
  <c r="G41" i="29"/>
  <c r="K42" i="29"/>
  <c r="K57" i="29"/>
  <c r="K56" i="29"/>
  <c r="L42" i="29"/>
  <c r="K39" i="29"/>
  <c r="H62" i="29"/>
  <c r="I62" i="29" s="1"/>
  <c r="J62" i="29" s="1"/>
  <c r="L41" i="29"/>
  <c r="K38" i="29"/>
  <c r="H61" i="29"/>
  <c r="M43" i="29"/>
  <c r="L40" i="29"/>
  <c r="K37" i="29"/>
  <c r="H44" i="29"/>
  <c r="L39" i="29"/>
  <c r="L38" i="29"/>
  <c r="M40" i="29"/>
  <c r="H41" i="29"/>
  <c r="K49" i="29"/>
  <c r="G37" i="29"/>
  <c r="I37" i="29" s="1"/>
  <c r="J37" i="29" s="1"/>
  <c r="L86" i="29"/>
  <c r="G59" i="29"/>
  <c r="I59" i="29" s="1"/>
  <c r="J59" i="29" s="1"/>
  <c r="K48" i="29"/>
  <c r="M60" i="29"/>
  <c r="G58" i="29"/>
  <c r="I58" i="29" s="1"/>
  <c r="J58" i="29" s="1"/>
  <c r="M37" i="29"/>
  <c r="H38" i="29"/>
  <c r="I38" i="29" s="1"/>
  <c r="J38" i="29" s="1"/>
  <c r="L82" i="29"/>
  <c r="I68" i="29"/>
  <c r="J68" i="29" s="1"/>
  <c r="M59" i="29"/>
  <c r="L49" i="29"/>
  <c r="J55" i="29"/>
  <c r="M45" i="29"/>
  <c r="M42" i="29"/>
  <c r="I60" i="29"/>
  <c r="J60" i="29" s="1"/>
  <c r="M39" i="29"/>
  <c r="L83" i="29"/>
  <c r="I67" i="29"/>
  <c r="J67" i="29" s="1"/>
  <c r="K60" i="29"/>
  <c r="I57" i="29"/>
  <c r="J57" i="29" s="1"/>
  <c r="I56" i="29"/>
  <c r="J56" i="29" s="1"/>
  <c r="K55" i="29"/>
  <c r="K54" i="29"/>
  <c r="K70" i="29"/>
  <c r="K53" i="29"/>
  <c r="K69" i="29"/>
  <c r="M58" i="29"/>
  <c r="L55" i="29"/>
  <c r="K52" i="29"/>
  <c r="H75" i="29"/>
  <c r="I75" i="29" s="1"/>
  <c r="J75" i="29" s="1"/>
  <c r="M57" i="29"/>
  <c r="L54" i="29"/>
  <c r="K51" i="29"/>
  <c r="H74" i="29"/>
  <c r="M56" i="29"/>
  <c r="L53" i="29"/>
  <c r="K50" i="29"/>
  <c r="H73" i="29"/>
  <c r="M55" i="29"/>
  <c r="L52" i="29"/>
  <c r="H72" i="29"/>
  <c r="M54" i="29"/>
  <c r="L51" i="29"/>
  <c r="M53" i="29"/>
  <c r="L50" i="29"/>
  <c r="M52" i="29"/>
  <c r="G72" i="29"/>
  <c r="M51" i="29"/>
  <c r="G71" i="29"/>
  <c r="M50" i="29"/>
  <c r="I81" i="29"/>
  <c r="J81" i="29" s="1"/>
  <c r="L62" i="29"/>
  <c r="K62" i="29"/>
  <c r="K61" i="29"/>
  <c r="I80" i="29"/>
  <c r="J80" i="29" s="1"/>
  <c r="K73" i="29"/>
  <c r="I70" i="29"/>
  <c r="J70" i="29" s="1"/>
  <c r="I69" i="29"/>
  <c r="J69" i="29" s="1"/>
  <c r="K83" i="29"/>
  <c r="H87" i="29"/>
  <c r="M103" i="29"/>
  <c r="M67" i="29"/>
  <c r="M102" i="29"/>
  <c r="M66" i="29"/>
  <c r="L63" i="29"/>
  <c r="G64" i="29"/>
  <c r="M101" i="29"/>
  <c r="M86" i="29"/>
  <c r="M65" i="29"/>
  <c r="K75" i="29"/>
  <c r="G63" i="29"/>
  <c r="I63" i="29" s="1"/>
  <c r="J63" i="29" s="1"/>
  <c r="G84" i="29"/>
  <c r="I84" i="29" s="1"/>
  <c r="J84" i="29" s="1"/>
  <c r="M63" i="29"/>
  <c r="H64" i="29"/>
  <c r="K68" i="29"/>
  <c r="K85" i="29"/>
  <c r="K67" i="29"/>
  <c r="K66" i="29"/>
  <c r="K82" i="29"/>
  <c r="L68" i="29"/>
  <c r="K65" i="29"/>
  <c r="M70" i="29"/>
  <c r="L67" i="29"/>
  <c r="K64" i="29"/>
  <c r="H71" i="29"/>
  <c r="M105" i="29"/>
  <c r="M69" i="29"/>
  <c r="L66" i="29"/>
  <c r="M104" i="29"/>
  <c r="M68" i="29"/>
  <c r="L65" i="29"/>
  <c r="M88" i="29"/>
  <c r="H85" i="29"/>
  <c r="M89" i="29"/>
  <c r="G85" i="29"/>
  <c r="K74" i="29"/>
  <c r="M36" i="29"/>
  <c r="K36" i="29"/>
  <c r="I88" i="29"/>
  <c r="J88" i="29" s="1"/>
  <c r="L105" i="29"/>
  <c r="L75" i="29"/>
  <c r="K105" i="29"/>
  <c r="L84" i="29"/>
  <c r="I83" i="29"/>
  <c r="J83" i="29" s="1"/>
  <c r="I82" i="29"/>
  <c r="J82" i="29" s="1"/>
  <c r="K104" i="29"/>
  <c r="K103" i="29"/>
  <c r="K81" i="29"/>
  <c r="K102" i="29"/>
  <c r="K80" i="29"/>
  <c r="K101" i="29"/>
  <c r="K79" i="29"/>
  <c r="G104" i="29"/>
  <c r="I104" i="29" s="1"/>
  <c r="J104" i="29" s="1"/>
  <c r="M84" i="29"/>
  <c r="L81" i="29"/>
  <c r="K78" i="29"/>
  <c r="G102" i="29"/>
  <c r="I102" i="29" s="1"/>
  <c r="J102" i="29" s="1"/>
  <c r="M83" i="29"/>
  <c r="L80" i="29"/>
  <c r="K77" i="29"/>
  <c r="G101" i="29"/>
  <c r="I101" i="29" s="1"/>
  <c r="J101" i="29" s="1"/>
  <c r="L79" i="29"/>
  <c r="L78" i="29"/>
  <c r="M80" i="29"/>
  <c r="M79" i="29"/>
  <c r="L76" i="29"/>
  <c r="G77" i="29"/>
  <c r="I77" i="29" s="1"/>
  <c r="J77" i="29" s="1"/>
  <c r="M78" i="29"/>
  <c r="K88" i="29"/>
  <c r="G76" i="29"/>
  <c r="I76" i="29" s="1"/>
  <c r="J76" i="29" s="1"/>
  <c r="M77" i="29"/>
  <c r="K87" i="29"/>
  <c r="M82" i="29"/>
  <c r="M81" i="29"/>
  <c r="M76" i="29"/>
  <c r="L88" i="29"/>
  <c r="L36" i="29"/>
  <c r="I105" i="29"/>
  <c r="J105" i="29" s="1"/>
  <c r="I103" i="29"/>
  <c r="J103" i="29" s="1"/>
  <c r="G36" i="29"/>
  <c r="I36" i="29" s="1"/>
  <c r="J36" i="29" s="1"/>
  <c r="L103" i="29"/>
  <c r="G89" i="29"/>
  <c r="I89" i="29" s="1"/>
  <c r="J89" i="29" s="1"/>
  <c r="K89" i="29"/>
  <c r="C112" i="27"/>
  <c r="H108" i="29"/>
  <c r="I108" i="29" s="1"/>
  <c r="J108" i="29" s="1"/>
  <c r="K108" i="29"/>
  <c r="L108" i="29"/>
  <c r="I10" i="33"/>
  <c r="J10" i="33" s="1"/>
  <c r="C9" i="25"/>
  <c r="C8" i="25"/>
  <c r="J1" i="29"/>
  <c r="C6" i="29"/>
  <c r="E9" i="29"/>
  <c r="D9" i="29"/>
  <c r="H120" i="33" l="1"/>
  <c r="H15" i="27"/>
  <c r="H118" i="33"/>
  <c r="H13" i="27"/>
  <c r="I13" i="27" s="1"/>
  <c r="H149" i="33"/>
  <c r="I61" i="27"/>
  <c r="H151" i="33"/>
  <c r="H140" i="33"/>
  <c r="H135" i="33"/>
  <c r="I34" i="27"/>
  <c r="H139" i="33"/>
  <c r="H204" i="33"/>
  <c r="I91" i="27"/>
  <c r="H166" i="33"/>
  <c r="H175" i="33"/>
  <c r="I110" i="27"/>
  <c r="I23" i="27"/>
  <c r="I15" i="27"/>
  <c r="H154" i="33"/>
  <c r="I49" i="27"/>
  <c r="H159" i="33"/>
  <c r="I57" i="27"/>
  <c r="I101" i="27"/>
  <c r="I42" i="27"/>
  <c r="I89" i="27"/>
  <c r="H197" i="33"/>
  <c r="I82" i="27"/>
  <c r="H187" i="33"/>
  <c r="H130" i="33"/>
  <c r="H153" i="33"/>
  <c r="I48" i="27"/>
  <c r="H205" i="33"/>
  <c r="I100" i="27"/>
  <c r="I73" i="27"/>
  <c r="H178" i="33"/>
  <c r="I64" i="27"/>
  <c r="H169" i="33"/>
  <c r="H185" i="33"/>
  <c r="I80" i="27"/>
  <c r="I46" i="27"/>
  <c r="H201" i="33"/>
  <c r="I96" i="27"/>
  <c r="I99" i="27"/>
  <c r="I21" i="27"/>
  <c r="H126" i="33"/>
  <c r="I18" i="27"/>
  <c r="H123" i="33"/>
  <c r="I94" i="27"/>
  <c r="H199" i="33"/>
  <c r="I75" i="27"/>
  <c r="H180" i="33"/>
  <c r="H163" i="33"/>
  <c r="I58" i="27"/>
  <c r="I24" i="27"/>
  <c r="H129" i="33"/>
  <c r="I44" i="27"/>
  <c r="H198" i="33"/>
  <c r="I93" i="27"/>
  <c r="H207" i="33"/>
  <c r="I102" i="27"/>
  <c r="H177" i="33"/>
  <c r="I72" i="27"/>
  <c r="H152" i="33"/>
  <c r="I47" i="27"/>
  <c r="I95" i="27"/>
  <c r="H200" i="33"/>
  <c r="I41" i="27"/>
  <c r="H146" i="33"/>
  <c r="H121" i="33"/>
  <c r="I16" i="27"/>
  <c r="I35" i="27"/>
  <c r="I32" i="27"/>
  <c r="H137" i="33"/>
  <c r="H172" i="33"/>
  <c r="I67" i="27"/>
  <c r="I84" i="27"/>
  <c r="H189" i="33"/>
  <c r="H156" i="33"/>
  <c r="I51" i="27"/>
  <c r="H143" i="33"/>
  <c r="I38" i="27"/>
  <c r="I74" i="27"/>
  <c r="H179" i="33"/>
  <c r="H208" i="33"/>
  <c r="I103" i="27"/>
  <c r="H188" i="33"/>
  <c r="I83" i="27"/>
  <c r="H127" i="33"/>
  <c r="I22" i="27"/>
  <c r="H209" i="33"/>
  <c r="I104" i="27"/>
  <c r="I65" i="27"/>
  <c r="H170" i="33"/>
  <c r="H164" i="33"/>
  <c r="I59" i="27"/>
  <c r="H182" i="33"/>
  <c r="I77" i="27"/>
  <c r="H141" i="33"/>
  <c r="I36" i="27"/>
  <c r="I62" i="27"/>
  <c r="H167" i="33"/>
  <c r="I85" i="27"/>
  <c r="H190" i="33"/>
  <c r="I14" i="27"/>
  <c r="H119" i="33"/>
  <c r="I29" i="27"/>
  <c r="H134" i="33"/>
  <c r="H184" i="33"/>
  <c r="I79" i="27"/>
  <c r="H173" i="33"/>
  <c r="I68" i="27"/>
  <c r="H150" i="33"/>
  <c r="I45" i="27"/>
  <c r="I81" i="27"/>
  <c r="H186" i="33"/>
  <c r="H125" i="33"/>
  <c r="I20" i="27"/>
  <c r="H145" i="33"/>
  <c r="I40" i="27"/>
  <c r="H183" i="33"/>
  <c r="I78" i="27"/>
  <c r="H157" i="33"/>
  <c r="I52" i="27"/>
  <c r="I53" i="27"/>
  <c r="H158" i="33"/>
  <c r="H165" i="33"/>
  <c r="I60" i="27"/>
  <c r="I17" i="27"/>
  <c r="H122" i="33"/>
  <c r="H124" i="33"/>
  <c r="I19" i="27"/>
  <c r="I76" i="27"/>
  <c r="H181" i="33"/>
  <c r="I98" i="27"/>
  <c r="H203" i="33"/>
  <c r="H144" i="33"/>
  <c r="I39" i="27"/>
  <c r="H131" i="33"/>
  <c r="I26" i="27"/>
  <c r="H161" i="33"/>
  <c r="I56" i="27"/>
  <c r="H176" i="33"/>
  <c r="I71" i="27"/>
  <c r="L9" i="29"/>
  <c r="G9" i="29"/>
  <c r="G12" i="27"/>
  <c r="G10" i="34"/>
  <c r="I73" i="29"/>
  <c r="J73" i="29" s="1"/>
  <c r="I44" i="29"/>
  <c r="J44" i="29" s="1"/>
  <c r="I30" i="29"/>
  <c r="J30" i="29" s="1"/>
  <c r="I23" i="29"/>
  <c r="J23" i="29" s="1"/>
  <c r="I34" i="29"/>
  <c r="J34" i="29" s="1"/>
  <c r="I20" i="29"/>
  <c r="J20" i="29" s="1"/>
  <c r="I74" i="29"/>
  <c r="J74" i="29" s="1"/>
  <c r="I61" i="29"/>
  <c r="J61" i="29" s="1"/>
  <c r="I35" i="29"/>
  <c r="J35" i="29" s="1"/>
  <c r="I26" i="29"/>
  <c r="J26" i="29" s="1"/>
  <c r="I87" i="29"/>
  <c r="J87" i="29" s="1"/>
  <c r="I85" i="29"/>
  <c r="J85" i="29" s="1"/>
  <c r="I24" i="29"/>
  <c r="J24" i="29" s="1"/>
  <c r="I22" i="29"/>
  <c r="J22" i="29" s="1"/>
  <c r="I18" i="29"/>
  <c r="J18" i="29" s="1"/>
  <c r="I64" i="29"/>
  <c r="J64" i="29" s="1"/>
  <c r="I19" i="29"/>
  <c r="J19" i="29" s="1"/>
  <c r="I41" i="29"/>
  <c r="J41" i="29" s="1"/>
  <c r="I72" i="29"/>
  <c r="J72" i="29" s="1"/>
  <c r="I71" i="29"/>
  <c r="J71" i="29" s="1"/>
  <c r="K107" i="29"/>
  <c r="K106" i="29"/>
  <c r="K9" i="29"/>
  <c r="J1" i="34"/>
  <c r="H162" i="33" l="1"/>
  <c r="H206" i="33"/>
  <c r="I70" i="27"/>
  <c r="I54" i="27"/>
  <c r="I117" i="33"/>
  <c r="I25" i="27"/>
  <c r="J5" i="34" l="1"/>
  <c r="F111" i="34" l="1"/>
  <c r="C3" i="27" l="1"/>
  <c r="H6" i="27"/>
  <c r="H5" i="27"/>
  <c r="C6" i="27"/>
  <c r="I1" i="27"/>
  <c r="G111" i="33" l="1"/>
  <c r="K103" i="33"/>
  <c r="C210" i="33" s="1"/>
  <c r="I210" i="33" s="1"/>
  <c r="K104" i="33"/>
  <c r="C211" i="33" s="1"/>
  <c r="I211" i="33" s="1"/>
  <c r="K105" i="33"/>
  <c r="C212" i="33" s="1"/>
  <c r="I212" i="33" s="1"/>
  <c r="K106" i="33"/>
  <c r="C213" i="33" s="1"/>
  <c r="I213" i="33" s="1"/>
  <c r="K107" i="33"/>
  <c r="C214" i="33" s="1"/>
  <c r="I214" i="33" s="1"/>
  <c r="K110" i="33"/>
  <c r="C216" i="33" s="1"/>
  <c r="I216" i="33" s="1"/>
  <c r="D103" i="33"/>
  <c r="D104" i="33"/>
  <c r="D105" i="33"/>
  <c r="D106" i="33"/>
  <c r="D107" i="33"/>
  <c r="D110" i="33"/>
  <c r="I105" i="33"/>
  <c r="I107" i="33"/>
  <c r="I110" i="33"/>
  <c r="C5" i="25"/>
  <c r="D214" i="33" l="1"/>
  <c r="D211" i="33"/>
  <c r="D216" i="33"/>
  <c r="D213" i="33"/>
  <c r="D212" i="33"/>
  <c r="D210" i="33"/>
  <c r="I103" i="33"/>
  <c r="I106" i="33"/>
  <c r="I104" i="33"/>
  <c r="AC23" i="25"/>
  <c r="AC22" i="25"/>
  <c r="AC21" i="25"/>
  <c r="AC20" i="25"/>
  <c r="AC19" i="25"/>
  <c r="AC18" i="25"/>
  <c r="AC17" i="25"/>
  <c r="AC16" i="25"/>
  <c r="BG24" i="25"/>
  <c r="I107" i="27" l="1"/>
  <c r="H212" i="33"/>
  <c r="I108" i="27"/>
  <c r="H213" i="33"/>
  <c r="I105" i="27"/>
  <c r="H210" i="33"/>
  <c r="I111" i="27"/>
  <c r="H216" i="33"/>
  <c r="I106" i="27"/>
  <c r="H211" i="33"/>
  <c r="I109" i="27"/>
  <c r="H214" i="33"/>
  <c r="BG17" i="25"/>
  <c r="J111" i="33" l="1"/>
  <c r="AO217" i="33" s="1"/>
  <c r="BV32" i="25"/>
  <c r="BU31" i="25"/>
  <c r="BU30" i="25"/>
  <c r="BU28" i="25"/>
  <c r="G111" i="34" l="1"/>
  <c r="AH22" i="25" l="1"/>
  <c r="AH21" i="25"/>
  <c r="AH20" i="25"/>
  <c r="AF22" i="25"/>
  <c r="AF21" i="25"/>
  <c r="AE22" i="25"/>
  <c r="AE21" i="25"/>
  <c r="AG22" i="25"/>
  <c r="AG21" i="25"/>
  <c r="AG20" i="25"/>
  <c r="AE20" i="25"/>
  <c r="AF20" i="25"/>
  <c r="B25" i="32"/>
  <c r="A25" i="32"/>
  <c r="H29" i="32" s="1"/>
  <c r="B20" i="32"/>
  <c r="A20" i="32"/>
  <c r="B15" i="32"/>
  <c r="A15" i="32"/>
  <c r="F28" i="32"/>
  <c r="F27" i="32"/>
  <c r="F23" i="32"/>
  <c r="F22" i="32"/>
  <c r="F18" i="32"/>
  <c r="F13" i="32"/>
  <c r="Y17" i="25"/>
  <c r="F15" i="32" s="1"/>
  <c r="Y18" i="25"/>
  <c r="F20" i="32" s="1"/>
  <c r="Y19" i="25"/>
  <c r="F25" i="32" s="1"/>
  <c r="Y20" i="25"/>
  <c r="Y21" i="25"/>
  <c r="Y22" i="25"/>
  <c r="Y23" i="25"/>
  <c r="F17" i="32"/>
  <c r="F12" i="32"/>
  <c r="B10" i="32"/>
  <c r="A10" i="32"/>
  <c r="H14" i="32" s="1"/>
  <c r="I26" i="32"/>
  <c r="I21" i="32"/>
  <c r="I16" i="32"/>
  <c r="I11" i="32"/>
  <c r="G21" i="32" l="1"/>
  <c r="H21" i="32" s="1"/>
  <c r="G16" i="32"/>
  <c r="H16" i="32" s="1"/>
  <c r="G26" i="32"/>
  <c r="H26" i="32" s="1"/>
  <c r="H24" i="32"/>
  <c r="G11" i="32"/>
  <c r="H11" i="32" s="1"/>
  <c r="H19" i="32"/>
  <c r="T16" i="25" l="1"/>
  <c r="Z16" i="25" s="1"/>
  <c r="Y16" i="25"/>
  <c r="F10" i="32" s="1"/>
  <c r="V17" i="25"/>
  <c r="F16" i="32" s="1"/>
  <c r="V18" i="25"/>
  <c r="F21" i="32" s="1"/>
  <c r="V19" i="25"/>
  <c r="F26" i="32" s="1"/>
  <c r="V20" i="25"/>
  <c r="V21" i="25"/>
  <c r="V22" i="25"/>
  <c r="V23" i="25"/>
  <c r="T17" i="25"/>
  <c r="I16" i="25"/>
  <c r="G15" i="32" l="1"/>
  <c r="H15" i="32" s="1"/>
  <c r="K28" i="25"/>
  <c r="V16" i="25"/>
  <c r="U16" i="25"/>
  <c r="F27" i="25" s="1"/>
  <c r="K27" i="25"/>
  <c r="G10" i="32"/>
  <c r="H10" i="32" s="1"/>
  <c r="U17" i="25"/>
  <c r="F28" i="25" s="1"/>
  <c r="C28" i="25"/>
  <c r="M20" i="25"/>
  <c r="N20" i="25" s="1"/>
  <c r="T20" i="25"/>
  <c r="M21" i="25"/>
  <c r="N21" i="25" s="1"/>
  <c r="T21" i="25"/>
  <c r="M22" i="25"/>
  <c r="N22" i="25" s="1"/>
  <c r="T22" i="25"/>
  <c r="M23" i="25"/>
  <c r="N23" i="25" s="1"/>
  <c r="T23" i="25"/>
  <c r="I34" i="25" s="1"/>
  <c r="I23" i="25"/>
  <c r="J23" i="25" s="1"/>
  <c r="I20" i="25"/>
  <c r="J20" i="25" s="1"/>
  <c r="K20" i="25" s="1"/>
  <c r="I21" i="25"/>
  <c r="J21" i="25" s="1"/>
  <c r="I22" i="25"/>
  <c r="J22" i="25" s="1"/>
  <c r="E31" i="25"/>
  <c r="E32" i="25"/>
  <c r="E33" i="25"/>
  <c r="E34" i="25"/>
  <c r="C31" i="25"/>
  <c r="C32" i="25"/>
  <c r="C33" i="25"/>
  <c r="C34" i="25"/>
  <c r="I32" i="25" l="1"/>
  <c r="Q20" i="25"/>
  <c r="K34" i="25"/>
  <c r="U23" i="25"/>
  <c r="F34" i="25" s="1"/>
  <c r="F11" i="32"/>
  <c r="E27" i="25"/>
  <c r="K32" i="25"/>
  <c r="U21" i="25"/>
  <c r="F32" i="25" s="1"/>
  <c r="K33" i="25"/>
  <c r="U22" i="25"/>
  <c r="F33" i="25" s="1"/>
  <c r="I31" i="25"/>
  <c r="K31" i="25"/>
  <c r="U20" i="25"/>
  <c r="F31" i="25" s="1"/>
  <c r="K21" i="25"/>
  <c r="Q21" i="25" s="1"/>
  <c r="P21" i="25"/>
  <c r="X21" i="25" s="1"/>
  <c r="W21" i="25" s="1"/>
  <c r="H32" i="25" s="1"/>
  <c r="K23" i="25"/>
  <c r="Q23" i="25" s="1"/>
  <c r="S23" i="25" s="1"/>
  <c r="P23" i="25"/>
  <c r="K22" i="25"/>
  <c r="P22" i="25"/>
  <c r="P20" i="25"/>
  <c r="I33" i="25"/>
  <c r="BG2" i="25"/>
  <c r="J16" i="25"/>
  <c r="P16" i="25" s="1"/>
  <c r="BQ16" i="25"/>
  <c r="BG21" i="25"/>
  <c r="BU29" i="25"/>
  <c r="BG20" i="25"/>
  <c r="BG18" i="25"/>
  <c r="BG19" i="25"/>
  <c r="BU17" i="25"/>
  <c r="BU16" i="25"/>
  <c r="BU15" i="25"/>
  <c r="BU14" i="25"/>
  <c r="X20" i="25" l="1"/>
  <c r="W20" i="25" s="1"/>
  <c r="H31" i="25" s="1"/>
  <c r="R22" i="25"/>
  <c r="X23" i="25"/>
  <c r="W23" i="25" s="1"/>
  <c r="H34" i="25" s="1"/>
  <c r="R16" i="25"/>
  <c r="K16" i="25"/>
  <c r="D31" i="25"/>
  <c r="R23" i="25"/>
  <c r="R20" i="25"/>
  <c r="R21" i="25"/>
  <c r="S21" i="25"/>
  <c r="D32" i="25"/>
  <c r="S20" i="25"/>
  <c r="Q22" i="25"/>
  <c r="X22" i="25" s="1"/>
  <c r="W22" i="25" s="1"/>
  <c r="H33" i="25" s="1"/>
  <c r="BU19" i="25"/>
  <c r="BU18" i="25"/>
  <c r="BU20" i="25"/>
  <c r="BU21" i="25"/>
  <c r="BU22" i="25"/>
  <c r="AD20" i="25" l="1"/>
  <c r="G12" i="32"/>
  <c r="H12" i="32" s="1"/>
  <c r="L31" i="25"/>
  <c r="S22" i="25"/>
  <c r="AD22" i="25"/>
  <c r="D33" i="25"/>
  <c r="D24" i="25"/>
  <c r="AD21" i="25" l="1"/>
  <c r="M31" i="25"/>
  <c r="AH16" i="25"/>
  <c r="AG16" i="25"/>
  <c r="L32" i="25" l="1"/>
  <c r="L33" i="25"/>
  <c r="L106" i="29"/>
  <c r="M106" i="29"/>
  <c r="L107" i="29"/>
  <c r="M107" i="29"/>
  <c r="M9" i="29"/>
  <c r="E30" i="25"/>
  <c r="E29" i="25"/>
  <c r="E28" i="25"/>
  <c r="AG23" i="25"/>
  <c r="AF23" i="25"/>
  <c r="AE23" i="25"/>
  <c r="AG19" i="25"/>
  <c r="AF19" i="25"/>
  <c r="AE19" i="25"/>
  <c r="AH19" i="25"/>
  <c r="T19" i="25"/>
  <c r="M19" i="25"/>
  <c r="N19" i="25" s="1"/>
  <c r="I19" i="25"/>
  <c r="J19" i="25" s="1"/>
  <c r="AG18" i="25"/>
  <c r="AF18" i="25"/>
  <c r="AE18" i="25"/>
  <c r="AH18" i="25"/>
  <c r="T18" i="25"/>
  <c r="M18" i="25"/>
  <c r="N18" i="25" s="1"/>
  <c r="I18" i="25"/>
  <c r="J18" i="25" s="1"/>
  <c r="AG17" i="25"/>
  <c r="AF17" i="25"/>
  <c r="AE17" i="25"/>
  <c r="AH17" i="25"/>
  <c r="M17" i="25"/>
  <c r="I17" i="25"/>
  <c r="J17" i="25" s="1"/>
  <c r="M32" i="25" l="1"/>
  <c r="G106" i="29"/>
  <c r="H9" i="29"/>
  <c r="G107" i="29"/>
  <c r="H107" i="29"/>
  <c r="H106" i="29"/>
  <c r="G20" i="32"/>
  <c r="H20" i="32" s="1"/>
  <c r="K29" i="25"/>
  <c r="U18" i="25"/>
  <c r="F29" i="25" s="1"/>
  <c r="K30" i="25"/>
  <c r="G25" i="32"/>
  <c r="H25" i="32" s="1"/>
  <c r="U19" i="25"/>
  <c r="F30" i="25" s="1"/>
  <c r="M33" i="25"/>
  <c r="AH23" i="25"/>
  <c r="C109" i="29"/>
  <c r="P17" i="25"/>
  <c r="P19" i="25"/>
  <c r="K19" i="25"/>
  <c r="K18" i="25"/>
  <c r="AF16" i="25"/>
  <c r="AE16" i="25"/>
  <c r="I106" i="29" l="1"/>
  <c r="J106" i="29" s="1"/>
  <c r="I107" i="29"/>
  <c r="I9" i="29"/>
  <c r="G22" i="32"/>
  <c r="H22" i="32" s="1"/>
  <c r="G27" i="32"/>
  <c r="H27" i="32" s="1"/>
  <c r="R17" i="25"/>
  <c r="G17" i="32"/>
  <c r="H17" i="32" s="1"/>
  <c r="D34" i="25"/>
  <c r="L34" i="25" s="1"/>
  <c r="Q19" i="25"/>
  <c r="G28" i="32" s="1"/>
  <c r="H28" i="32" s="1"/>
  <c r="G23" i="32"/>
  <c r="H23" i="32" s="1"/>
  <c r="K17" i="25"/>
  <c r="N17" i="25" s="1"/>
  <c r="R19" i="25"/>
  <c r="R18" i="25"/>
  <c r="X19" i="25" l="1"/>
  <c r="W19" i="25" s="1"/>
  <c r="H30" i="25" s="1"/>
  <c r="X18" i="25"/>
  <c r="W18" i="25" s="1"/>
  <c r="H29" i="25" s="1"/>
  <c r="J9" i="29"/>
  <c r="J107" i="29"/>
  <c r="M34" i="25"/>
  <c r="S18" i="25"/>
  <c r="D29" i="25"/>
  <c r="S19" i="25"/>
  <c r="D30" i="25"/>
  <c r="Q17" i="25"/>
  <c r="X17" i="25" s="1"/>
  <c r="W17" i="25" s="1"/>
  <c r="H28" i="25" s="1"/>
  <c r="M16" i="25"/>
  <c r="N16" i="25" s="1"/>
  <c r="F24" i="32" l="1"/>
  <c r="G18" i="32"/>
  <c r="H18" i="32" s="1"/>
  <c r="F29" i="32"/>
  <c r="S17" i="25"/>
  <c r="D28" i="25"/>
  <c r="AD23" i="25"/>
  <c r="F19" i="32" l="1"/>
  <c r="Q16" i="25"/>
  <c r="X16" i="25" s="1"/>
  <c r="AD18" i="25"/>
  <c r="AD19" i="25"/>
  <c r="W16" i="25" l="1"/>
  <c r="H27" i="25" s="1"/>
  <c r="K14" i="32"/>
  <c r="AD17" i="25"/>
  <c r="G13" i="32"/>
  <c r="H13" i="32" s="1"/>
  <c r="C30" i="25" l="1"/>
  <c r="C29" i="25"/>
  <c r="R24" i="25" l="1"/>
  <c r="J109" i="29" l="1"/>
  <c r="C114" i="29" s="1"/>
  <c r="BG16" i="25"/>
  <c r="BG15" i="25"/>
  <c r="D27" i="25" s="1"/>
  <c r="I30" i="25" l="1"/>
  <c r="L30" i="25" s="1"/>
  <c r="I29" i="25"/>
  <c r="I28" i="25"/>
  <c r="L28" i="25" s="1"/>
  <c r="L29" i="25" l="1"/>
  <c r="M28" i="25"/>
  <c r="M30" i="25"/>
  <c r="M29" i="25" l="1"/>
  <c r="C27" i="25"/>
  <c r="N10" i="27"/>
  <c r="H23" i="2"/>
  <c r="H24" i="2"/>
  <c r="H25" i="2"/>
  <c r="H26" i="2"/>
  <c r="H27" i="2"/>
  <c r="H28" i="2"/>
  <c r="G28" i="2"/>
  <c r="F28" i="2"/>
  <c r="G27" i="2"/>
  <c r="F27" i="2"/>
  <c r="G26" i="2"/>
  <c r="F26" i="2"/>
  <c r="G25" i="2"/>
  <c r="F25" i="2"/>
  <c r="G24" i="2"/>
  <c r="F24" i="2"/>
  <c r="G23" i="2"/>
  <c r="F23" i="2"/>
  <c r="I27" i="25" l="1"/>
  <c r="Z27" i="25"/>
  <c r="H29" i="2"/>
  <c r="S16" i="25" l="1"/>
  <c r="S24" i="25" s="1"/>
  <c r="AD16" i="25"/>
  <c r="L27" i="25" l="1"/>
  <c r="H12" i="27" s="1"/>
  <c r="I12" i="27" s="1"/>
  <c r="F14" i="32"/>
  <c r="H117" i="33" l="1"/>
  <c r="I113" i="27" s="1" a="1"/>
  <c r="I113" i="27" s="1"/>
  <c r="I112" i="27"/>
  <c r="M27" i="25"/>
  <c r="I114" i="27" l="1"/>
  <c r="I115" i="27" s="1"/>
  <c r="I116" i="2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<sst xmlns="http://schemas.openxmlformats.org/spreadsheetml/2006/main" count="1091" uniqueCount="636">
  <si>
    <t>Nº:</t>
  </si>
  <si>
    <t>Venta Directa</t>
  </si>
  <si>
    <t>Empresa:</t>
  </si>
  <si>
    <t>3307 - Mesh Brillante</t>
  </si>
  <si>
    <t>Costura:</t>
  </si>
  <si>
    <t>Fuente:</t>
  </si>
  <si>
    <t>Cantidad</t>
  </si>
  <si>
    <t>#</t>
  </si>
  <si>
    <t>instalación</t>
  </si>
  <si>
    <t>Valor de las Terminaciones:</t>
  </si>
  <si>
    <t>1106 - Mesh Mate</t>
  </si>
  <si>
    <t>REQUERIMIENTO</t>
  </si>
  <si>
    <t>101-300 m2</t>
  </si>
  <si>
    <t>Sin despacho ni instalación</t>
    <phoneticPr fontId="12" type="noConversion"/>
  </si>
  <si>
    <t>Tamaño Bolsillo:</t>
  </si>
  <si>
    <t>3306 - Mesh Mate</t>
  </si>
  <si>
    <t>Estructuras</t>
    <phoneticPr fontId="12" type="noConversion"/>
  </si>
  <si>
    <t>Pantones:</t>
  </si>
  <si>
    <t>Dias hábiles de producción con VºBº aprobado:</t>
  </si>
  <si>
    <t>Detalles para el cliente</t>
    <phoneticPr fontId="12" type="noConversion"/>
  </si>
  <si>
    <t>3309 - Canvas</t>
  </si>
  <si>
    <t>Tipo Travesaño:</t>
  </si>
  <si>
    <t>3304 - Bandera</t>
  </si>
  <si>
    <t>1104 - Bandera</t>
  </si>
  <si>
    <t>si/no</t>
  </si>
  <si>
    <t>Soporte</t>
  </si>
  <si>
    <t>Observaciones:</t>
  </si>
  <si>
    <t>Alto</t>
  </si>
  <si>
    <t>Total</t>
  </si>
  <si>
    <t>Fono:</t>
  </si>
  <si>
    <t>1140 - Popelina</t>
  </si>
  <si>
    <t>Manual</t>
  </si>
  <si>
    <t>Sellado</t>
  </si>
  <si>
    <t>Ojetillos</t>
  </si>
  <si>
    <t>Remaches</t>
  </si>
  <si>
    <t>Ancho</t>
    <phoneticPr fontId="12" type="noConversion"/>
  </si>
  <si>
    <t>Datos para OC:</t>
  </si>
  <si>
    <t>101-200 m2</t>
  </si>
  <si>
    <t xml:space="preserve">COTIZACIÓN Nº: </t>
  </si>
  <si>
    <t>con despacho a un punto dentro de Santiago</t>
    <phoneticPr fontId="12" type="noConversion"/>
  </si>
  <si>
    <t>ORDEN DE PRODUCCIÓN</t>
  </si>
  <si>
    <t>Máquina:</t>
  </si>
  <si>
    <t>Valor Unitario</t>
  </si>
  <si>
    <t>Instalación en un punto</t>
  </si>
  <si>
    <t>Despachos e instalaciones</t>
    <phoneticPr fontId="12" type="noConversion"/>
  </si>
  <si>
    <t>DATOS CLIENTE</t>
  </si>
  <si>
    <t>Agencia:</t>
  </si>
  <si>
    <t>Soporte:</t>
  </si>
  <si>
    <t>Cotización:</t>
  </si>
  <si>
    <t>RUT:</t>
  </si>
  <si>
    <t>3-100 m2</t>
  </si>
  <si>
    <t>IMPRESIÓN</t>
  </si>
  <si>
    <t>VºBº</t>
  </si>
  <si>
    <t>Sí</t>
  </si>
  <si>
    <t>No</t>
  </si>
  <si>
    <t>Contacto:</t>
  </si>
  <si>
    <t>Inser</t>
  </si>
  <si>
    <t>E-Mail</t>
  </si>
  <si>
    <t>CD/DVD</t>
  </si>
  <si>
    <t>Fecha de Entrega:</t>
  </si>
  <si>
    <t>1108 - Perforado</t>
  </si>
  <si>
    <t>Tela</t>
  </si>
  <si>
    <t>Operador:</t>
  </si>
  <si>
    <t>Fuente</t>
  </si>
  <si>
    <t>Otros</t>
  </si>
  <si>
    <t>3308 - Perforado</t>
  </si>
  <si>
    <t>Item de Ingreso</t>
  </si>
  <si>
    <t>Cliente:</t>
  </si>
  <si>
    <t>Tema:</t>
  </si>
  <si>
    <t>PRE-PRENSA</t>
  </si>
  <si>
    <t>Directo</t>
  </si>
  <si>
    <t>fecha</t>
    <phoneticPr fontId="12" type="noConversion"/>
  </si>
  <si>
    <t>Producto</t>
  </si>
  <si>
    <t>Valor Mínimo</t>
  </si>
  <si>
    <t>3-50 m2</t>
  </si>
  <si>
    <t>Pop Up</t>
  </si>
  <si>
    <t>Vendedor:</t>
  </si>
  <si>
    <t>Guías:</t>
  </si>
  <si>
    <t>Valor Unitario</t>
    <phoneticPr fontId="12" type="noConversion"/>
  </si>
  <si>
    <t>Valor total neto</t>
    <phoneticPr fontId="12" type="noConversion"/>
  </si>
  <si>
    <t>Hora Entrega:</t>
  </si>
  <si>
    <t>Fecha:</t>
  </si>
  <si>
    <t>3302 - Satín</t>
  </si>
  <si>
    <t>Tipo de Corte:</t>
  </si>
  <si>
    <t>1109 - Canvas</t>
  </si>
  <si>
    <t>DESCRIPCIÓN DEL TRABAJO</t>
  </si>
  <si>
    <t>Costura</t>
  </si>
  <si>
    <t xml:space="preserve">Largo </t>
  </si>
  <si>
    <t>Hora VºBº</t>
  </si>
  <si>
    <t>3340 - Popelina</t>
  </si>
  <si>
    <t>O. Compra:</t>
  </si>
  <si>
    <t>Valor Total</t>
  </si>
  <si>
    <t>Sub-Total</t>
  </si>
  <si>
    <t>RC Ferias</t>
  </si>
  <si>
    <t>TERMINACIONES</t>
  </si>
  <si>
    <t>Laser</t>
  </si>
  <si>
    <t>Panel</t>
  </si>
  <si>
    <t>Medida Vivo:</t>
  </si>
  <si>
    <t>ITEM DE INGRESO</t>
  </si>
  <si>
    <t>Nº</t>
  </si>
  <si>
    <t>Bandera</t>
  </si>
  <si>
    <t>Estimado(a):</t>
  </si>
  <si>
    <t>M2</t>
  </si>
  <si>
    <t>Fecha VºBº</t>
  </si>
  <si>
    <t>Doble</t>
  </si>
  <si>
    <t>Pendón</t>
  </si>
  <si>
    <t>51-100 m2</t>
  </si>
  <si>
    <t>con instalación</t>
    <phoneticPr fontId="12" type="noConversion"/>
  </si>
  <si>
    <t>E-Mail:</t>
  </si>
  <si>
    <t>1107 - Mesh Brillante</t>
  </si>
  <si>
    <t>1102 - Satín</t>
  </si>
  <si>
    <t>lista productos</t>
  </si>
  <si>
    <t>Plantilla Cliente:</t>
  </si>
  <si>
    <t>Roller</t>
  </si>
  <si>
    <t>Simple</t>
  </si>
  <si>
    <t>ancho</t>
    <phoneticPr fontId="0" type="noConversion"/>
  </si>
  <si>
    <t>valor unitario</t>
  </si>
  <si>
    <t>ESTRUCTURAS</t>
  </si>
  <si>
    <t>PERFIL</t>
  </si>
  <si>
    <t>textil backlight</t>
  </si>
  <si>
    <t>Nº OP</t>
    <phoneticPr fontId="12" type="noConversion"/>
  </si>
  <si>
    <t>Ingreso</t>
    <phoneticPr fontId="12" type="noConversion"/>
  </si>
  <si>
    <t>Entrega</t>
    <phoneticPr fontId="12" type="noConversion"/>
  </si>
  <si>
    <t>cliente</t>
  </si>
  <si>
    <t>ID trabajo:</t>
  </si>
  <si>
    <t>Terminaciones</t>
  </si>
  <si>
    <t>complementos</t>
  </si>
  <si>
    <t>valor m2</t>
  </si>
  <si>
    <t>trovicel m2</t>
  </si>
  <si>
    <t>caja frameless 10 simple</t>
  </si>
  <si>
    <t>alucobond m2</t>
  </si>
  <si>
    <t>caja frameless 8 simple</t>
  </si>
  <si>
    <t>caja frameless 6 simple</t>
  </si>
  <si>
    <t>armado medio 4 &gt; 6 ml</t>
  </si>
  <si>
    <t>fuente 24 v 100 watts</t>
  </si>
  <si>
    <t>caja frameless 12 doble</t>
  </si>
  <si>
    <t>armado complejo 6 &gt; 8 ml</t>
  </si>
  <si>
    <t>fuente 24v 150 watts</t>
  </si>
  <si>
    <t>fuente de poder</t>
  </si>
  <si>
    <t>armado jumbo &gt; 8 ml</t>
  </si>
  <si>
    <t>fuente 24v 200 watts</t>
  </si>
  <si>
    <t xml:space="preserve">iluminación </t>
  </si>
  <si>
    <t>perfil 8</t>
  </si>
  <si>
    <t>perfil 6</t>
  </si>
  <si>
    <t>tipo perfil</t>
  </si>
  <si>
    <t>perfil 12</t>
  </si>
  <si>
    <t xml:space="preserve">pernos </t>
  </si>
  <si>
    <t>esquineros</t>
  </si>
  <si>
    <t>armado sin luz minimo &lt;1</t>
  </si>
  <si>
    <t>ANCHO</t>
  </si>
  <si>
    <t>ALTO</t>
  </si>
  <si>
    <t>REQUERIMIENTO TEXTIL</t>
  </si>
  <si>
    <t>neto</t>
  </si>
  <si>
    <t>iva</t>
  </si>
  <si>
    <t>total</t>
  </si>
  <si>
    <t>REQUERIMIENTO CAJAS LUZ LED</t>
  </si>
  <si>
    <t>Ç</t>
  </si>
  <si>
    <t>Bastidor 60mm</t>
  </si>
  <si>
    <t>Bastidor 80mm</t>
  </si>
  <si>
    <t>Bastidor 100mm</t>
  </si>
  <si>
    <t>Bastidor 120mm</t>
  </si>
  <si>
    <t>traseras</t>
  </si>
  <si>
    <t>trovicel  122</t>
  </si>
  <si>
    <t>alucobond 122x244</t>
  </si>
  <si>
    <t>armado</t>
  </si>
  <si>
    <t>armado mínimo &lt;1</t>
  </si>
  <si>
    <t>armado  y  electropintado mínimo &lt;1</t>
  </si>
  <si>
    <t>armado  y  electropintado simple 1&gt;4 ml</t>
  </si>
  <si>
    <t>armado  y  electropintado complejo 6 &gt; 8 ml</t>
  </si>
  <si>
    <t>armado  y  electropintado jumbo &gt; 8 ml</t>
  </si>
  <si>
    <t>armado  y  electropintado exagonal</t>
  </si>
  <si>
    <t>Textiles Digitales Ltda./ 76.144.885-4/Ss. De Publicidad/ San Isidro 1927/ Santiago/Chile</t>
  </si>
  <si>
    <t>watts</t>
  </si>
  <si>
    <t>caja frameless 10 exhibidor</t>
  </si>
  <si>
    <t>corte ancho</t>
  </si>
  <si>
    <t>corte alto</t>
  </si>
  <si>
    <t>pearl 155</t>
  </si>
  <si>
    <t>pearl 310</t>
  </si>
  <si>
    <t>popelina backlight 155</t>
  </si>
  <si>
    <t>popelina backlight 310</t>
  </si>
  <si>
    <t>caja frameless 10 doble</t>
  </si>
  <si>
    <t>armado NO RECTO</t>
  </si>
  <si>
    <t>FP 150 watts- 24v MEAN WELL</t>
  </si>
  <si>
    <t>FP 350 watts - 24v MEAN WELL</t>
  </si>
  <si>
    <t>FP 100 watts- 24v MEAN WELL</t>
  </si>
  <si>
    <t>FP 200 watts- 24v MEAN WELL</t>
  </si>
  <si>
    <t>FP 50 watts- 24v MEAN WELL</t>
  </si>
  <si>
    <t>FP 75 watts- 24v MEAN WELL</t>
  </si>
  <si>
    <t>ML</t>
  </si>
  <si>
    <t>fuente 24v 75 watts</t>
  </si>
  <si>
    <t>fuente 24v 50 watts</t>
  </si>
  <si>
    <t>FP</t>
  </si>
  <si>
    <t>PERFIL 60 MM</t>
  </si>
  <si>
    <t>PERFIL 80 MM</t>
  </si>
  <si>
    <t>PERFIL 100 MM SIMPLE</t>
  </si>
  <si>
    <t>PERFIL 100 MM DOBLE</t>
  </si>
  <si>
    <t>sin traseras</t>
  </si>
  <si>
    <t>costos s/iva</t>
  </si>
  <si>
    <t>costo s/iva</t>
  </si>
  <si>
    <t>BANCO SANTANDER.CTA CTE: 0-000-8759710-5</t>
  </si>
  <si>
    <t>led 1</t>
  </si>
  <si>
    <t>Ancho led 1</t>
  </si>
  <si>
    <t>led 2</t>
  </si>
  <si>
    <t>Ancho led 2</t>
  </si>
  <si>
    <t>armado  y  electropintado medio 4 &gt; 6 ml</t>
  </si>
  <si>
    <t>ancho final</t>
  </si>
  <si>
    <t>alto final</t>
  </si>
  <si>
    <t>valor unit</t>
  </si>
  <si>
    <t>valor impresión</t>
  </si>
  <si>
    <t>valor mínimo 1 m2</t>
  </si>
  <si>
    <t>productor  1&lt;10 M2</t>
  </si>
  <si>
    <t>productor  10&lt;20m2</t>
  </si>
  <si>
    <t>productor 21 &lt;50m2</t>
  </si>
  <si>
    <t>prouctor &gt; 50 m2</t>
  </si>
  <si>
    <t>item</t>
  </si>
  <si>
    <t>A</t>
  </si>
  <si>
    <t>B</t>
  </si>
  <si>
    <t>C</t>
  </si>
  <si>
    <t>D</t>
  </si>
  <si>
    <t>E</t>
  </si>
  <si>
    <t>F</t>
  </si>
  <si>
    <t>G</t>
  </si>
  <si>
    <t>H</t>
  </si>
  <si>
    <t>J</t>
  </si>
  <si>
    <t>I</t>
  </si>
  <si>
    <t>OTROS UNIT</t>
  </si>
  <si>
    <t>ILUMINACIÓN</t>
  </si>
  <si>
    <t>TRASERAS</t>
  </si>
  <si>
    <t>ARMADO</t>
  </si>
  <si>
    <t>Tema</t>
  </si>
  <si>
    <t>Nº INGRESO:</t>
  </si>
  <si>
    <t>lado + largo</t>
  </si>
  <si>
    <t>lado + corto</t>
  </si>
  <si>
    <t># led 1 x lado</t>
  </si>
  <si>
    <t>ml x cubrir</t>
  </si>
  <si>
    <t>lados a cubrir</t>
  </si>
  <si>
    <t>luces 1 totales</t>
  </si>
  <si>
    <t>luces 2 totales</t>
  </si>
  <si>
    <t>mts lineales x caja</t>
  </si>
  <si>
    <t>mts lineales totales</t>
  </si>
  <si>
    <t>medida</t>
  </si>
  <si>
    <t>FP 450 watts-24v- MEAN WELL</t>
  </si>
  <si>
    <t>valores unitarios</t>
  </si>
  <si>
    <t>Traseras</t>
  </si>
  <si>
    <t>cant traseras</t>
  </si>
  <si>
    <t>cant FP</t>
  </si>
  <si>
    <t>PERFIL 120MM DOBLE</t>
  </si>
  <si>
    <t>FP 35 watts- 24v MEAN WELL</t>
  </si>
  <si>
    <t>textil entre 0,1 y 0,5 m2</t>
  </si>
  <si>
    <t>textil entre  0,51 y 1 m2</t>
  </si>
  <si>
    <t>textil entre 1,01 y 5 m2</t>
  </si>
  <si>
    <t>textil entre 5,01 y 10 m2</t>
  </si>
  <si>
    <t>más de 10 m2</t>
  </si>
  <si>
    <t>Malla Front Led 50x150 5k</t>
  </si>
  <si>
    <t>max ancho</t>
  </si>
  <si>
    <t># led 2 x lado</t>
  </si>
  <si>
    <t>sin terminaciones</t>
  </si>
  <si>
    <t>m2 total</t>
  </si>
  <si>
    <t>exc cms x lado</t>
  </si>
  <si>
    <t>m2 unit</t>
  </si>
  <si>
    <t>pearl 160 hp</t>
  </si>
  <si>
    <r>
      <t xml:space="preserve"> Si esta cotización es aprobada, devuélvala firmada por E-Mail o adjunte su Orden de Compra a: </t>
    </r>
    <r>
      <rPr>
        <b/>
        <sz val="14"/>
        <color rgb="FF333333"/>
        <rFont val="Calibri"/>
        <family val="2"/>
      </rPr>
      <t>admin@texdigital.cl</t>
    </r>
  </si>
  <si>
    <t>luces led</t>
  </si>
  <si>
    <t>luces 1 x caja</t>
  </si>
  <si>
    <t>luces 2 x caja</t>
  </si>
  <si>
    <t>PRODUCTOS</t>
  </si>
  <si>
    <t>Perfil 10</t>
  </si>
  <si>
    <t>Los valores dados en esta cotización son válidos para las cantidades aquí mencionadas.       Cambios en cantidades deben ser recotizados.</t>
  </si>
  <si>
    <t xml:space="preserve">Datos bancarios: </t>
  </si>
  <si>
    <t>PLOTTER:</t>
  </si>
  <si>
    <t>FUENTES DE PODER</t>
  </si>
  <si>
    <t>FP 600 watts-24v- MEAN WELL</t>
  </si>
  <si>
    <t>PRECIO VENTA</t>
  </si>
  <si>
    <t>WATSS</t>
  </si>
  <si>
    <t>Basic led lateral 5F  5K , 53 cms max 500mm</t>
  </si>
  <si>
    <t>Basic led lateral 3F  5K, 33 cms max  500mm</t>
  </si>
  <si>
    <t>Led Lateral Actilum M9 -6k, 52 cms max 700mm</t>
  </si>
  <si>
    <t>Led lateral Actilum M6 6k, 35 cms  max  700mm</t>
  </si>
  <si>
    <t>Led lateral Actilum M3 6k  19 cms. max700 mm</t>
  </si>
  <si>
    <t>sin luces</t>
  </si>
  <si>
    <t>TIPO DE LUZ</t>
  </si>
  <si>
    <t>precio venta</t>
  </si>
  <si>
    <t>CABLE MTS CABLE</t>
  </si>
  <si>
    <t>CONECTORES/ENCHUFES</t>
  </si>
  <si>
    <t>5f 5k</t>
  </si>
  <si>
    <t>3f 5k</t>
  </si>
  <si>
    <t>M9</t>
  </si>
  <si>
    <t>M6</t>
  </si>
  <si>
    <t>M3</t>
  </si>
  <si>
    <t>malla 150</t>
  </si>
  <si>
    <t>tipo led 1</t>
  </si>
  <si>
    <t>tipo led 2</t>
  </si>
  <si>
    <t>nick</t>
  </si>
  <si>
    <t>Basic 5 focos</t>
  </si>
  <si>
    <t>Basic 3 focos</t>
  </si>
  <si>
    <t>Malla 150</t>
  </si>
  <si>
    <t>Malla 12v</t>
  </si>
  <si>
    <t>malla 12v</t>
  </si>
  <si>
    <t>Ancho</t>
  </si>
  <si>
    <t>materiales</t>
  </si>
  <si>
    <t>tipo</t>
  </si>
  <si>
    <t>cantidad x caja</t>
  </si>
  <si>
    <t>cantidad total</t>
  </si>
  <si>
    <t>Perfil</t>
  </si>
  <si>
    <t>ml x perfil</t>
  </si>
  <si>
    <t>m2 x trasera</t>
  </si>
  <si>
    <t>Luces 1</t>
  </si>
  <si>
    <t>Luces 2</t>
  </si>
  <si>
    <t>armado simple 1=&gt;4 ml</t>
  </si>
  <si>
    <t>ARMADO MINIMO</t>
  </si>
  <si>
    <t>ARMADO SIMPLE</t>
  </si>
  <si>
    <t>ARMADO MEDIO</t>
  </si>
  <si>
    <t>ARMADO COMPLEJO</t>
  </si>
  <si>
    <t>ARMADO JUMBO</t>
  </si>
  <si>
    <t>Pintura ml</t>
  </si>
  <si>
    <t>Nº OP</t>
    <phoneticPr fontId="13" type="noConversion"/>
  </si>
  <si>
    <t>Ingreso</t>
    <phoneticPr fontId="13" type="noConversion"/>
  </si>
  <si>
    <t>Entrega</t>
    <phoneticPr fontId="13" type="noConversion"/>
  </si>
  <si>
    <t xml:space="preserve">OBS: </t>
  </si>
  <si>
    <t>textil backlight con terminaciones para instalación en perfil frameless</t>
  </si>
  <si>
    <t>Caja frameles, tiro y retiro,  perfil 12 cms  incluye: luces led bajo consumo, textil backlight incluído con terminaciones, fuente de poder.</t>
  </si>
  <si>
    <t>Caja frameles, tiro y retiro,  perfil 10 cms  incluye: luces led bajo consumo, textil backlight incluído con terminaciones, fuente de poder.</t>
  </si>
  <si>
    <t>Caja frameles simple,  perfil 10 cms  incluye: luces led bajo consumo, textil backlight incluído con terminaciones, fuente de poder.</t>
  </si>
  <si>
    <t>Caja frameles simple,  perfil 8 cms  incluye: luces led bajo consumo, textil backlight incluído con terminaciones, fuente de poder.</t>
  </si>
  <si>
    <t>Caja frameles simple,  perfil 6 cms  incluye: luces led bajo consumo, textil backlight incluído con terminaciones, fuente de poder.</t>
  </si>
  <si>
    <t>neto total</t>
  </si>
  <si>
    <t>descto aplicado</t>
  </si>
  <si>
    <t>textil</t>
  </si>
  <si>
    <t>obs:</t>
  </si>
  <si>
    <t>CAJA TERMINADA</t>
  </si>
  <si>
    <t>AREA VISUAL</t>
  </si>
  <si>
    <t>M12</t>
  </si>
  <si>
    <t>Led Lateral Actilum M12 -6k, 90 cms max 1000mm</t>
  </si>
  <si>
    <t>basic 9 focos</t>
  </si>
  <si>
    <t>Basic led lateral 9F, 6K, 45 cms 21 watts</t>
  </si>
  <si>
    <t>9f 6k</t>
  </si>
  <si>
    <t>tema</t>
  </si>
  <si>
    <t>Rut:</t>
  </si>
  <si>
    <t xml:space="preserve">Fecha: </t>
  </si>
  <si>
    <t>Email:</t>
  </si>
  <si>
    <t>Textil</t>
  </si>
  <si>
    <t>Ancho Tela</t>
  </si>
  <si>
    <t>unid x ancho</t>
  </si>
  <si>
    <t>ratio</t>
  </si>
  <si>
    <t>ML impresos</t>
  </si>
  <si>
    <t>Productos:</t>
  </si>
  <si>
    <t>accesorios para colgar</t>
  </si>
  <si>
    <t>asta vela 3m</t>
  </si>
  <si>
    <t>asta vela 4m</t>
  </si>
  <si>
    <t>banderas</t>
  </si>
  <si>
    <t>base auto</t>
  </si>
  <si>
    <t>base suelo metal más accesorio</t>
  </si>
  <si>
    <t>base suelo plástico</t>
  </si>
  <si>
    <t>Camino de mesa</t>
  </si>
  <si>
    <t>cubre sensor</t>
    <phoneticPr fontId="12" type="noConversion"/>
  </si>
  <si>
    <t>estaca</t>
  </si>
  <si>
    <t>estampado textil sin terminaciones</t>
  </si>
  <si>
    <t>Estuches</t>
  </si>
  <si>
    <t>fleje arriba y abajo</t>
  </si>
  <si>
    <t>Funda Almohada</t>
  </si>
  <si>
    <t>Funda Cojín</t>
  </si>
  <si>
    <t>lienzo simple con bolsillo SIN estructuras</t>
  </si>
  <si>
    <t>lienzo simple con bolsillos, estructutras, accesorios para colgar</t>
  </si>
  <si>
    <t>lienzo tiro y retiro con bolsillos  SIN estructuras</t>
  </si>
  <si>
    <t>lienzo tiro y retiro con bolsillos , estructuras y accesorios para colgar</t>
  </si>
  <si>
    <t>mantel basta perimetral 150x150</t>
  </si>
  <si>
    <t>mantel con calce y basta 210x300</t>
  </si>
  <si>
    <t>muro textil tubo aluminio 2.3x2.3</t>
  </si>
  <si>
    <t>Panel pop 1c</t>
  </si>
  <si>
    <t>Panel pop 2c</t>
  </si>
  <si>
    <t>Panel pop 3c</t>
  </si>
  <si>
    <t>Panel pop 4c</t>
  </si>
  <si>
    <t>Panel pop 5c</t>
  </si>
  <si>
    <t>Panel pop 6c</t>
  </si>
  <si>
    <t>Pañuelos</t>
  </si>
  <si>
    <t>pecheras con bolsillo</t>
  </si>
  <si>
    <t>pecheras simples</t>
  </si>
  <si>
    <t>Pieceras con basta</t>
  </si>
  <si>
    <t>Pieceras con forro</t>
  </si>
  <si>
    <t>pletina fierro arriba ya abjo</t>
  </si>
  <si>
    <t>sin estructura</t>
  </si>
  <si>
    <t>textil panel araña</t>
  </si>
  <si>
    <t>Totebag</t>
  </si>
  <si>
    <t>tubo aluminio arriba y abajo</t>
  </si>
  <si>
    <t>Velas banderas</t>
  </si>
  <si>
    <t>CONFIGURACION</t>
  </si>
  <si>
    <t>METROS IMPRESOS EXTRA:</t>
  </si>
  <si>
    <t>Descripcion del
producto</t>
  </si>
  <si>
    <t>observaciones
produccion</t>
  </si>
  <si>
    <t>Otros x1</t>
  </si>
  <si>
    <t>Valor unitario prod</t>
  </si>
  <si>
    <t>Total neto</t>
  </si>
  <si>
    <t>Valor unit</t>
  </si>
  <si>
    <t>BACKLIGHT</t>
  </si>
  <si>
    <t>Valor impresion total</t>
  </si>
  <si>
    <t>Razon Social:</t>
  </si>
  <si>
    <t>Condiciones de pago:</t>
  </si>
  <si>
    <t>COTIZACIÓN Nº-</t>
  </si>
  <si>
    <t>Razon Social</t>
  </si>
  <si>
    <t>Estructura</t>
  </si>
  <si>
    <t>ML REQUERIDOS</t>
  </si>
  <si>
    <t>Valor/M2</t>
  </si>
  <si>
    <t>contacto</t>
  </si>
  <si>
    <t>Inser</t>
    <phoneticPr fontId="12" type="noConversion"/>
  </si>
  <si>
    <t>TEMA</t>
  </si>
  <si>
    <t>ML</t>
    <phoneticPr fontId="12" type="noConversion"/>
  </si>
  <si>
    <t>obs</t>
  </si>
  <si>
    <t>vehículo propio</t>
    <phoneticPr fontId="12" type="noConversion"/>
  </si>
  <si>
    <t>MTS TOTALES PAPEL</t>
  </si>
  <si>
    <t>PRENSA:</t>
  </si>
  <si>
    <t>MTS TOTALES TELA</t>
  </si>
  <si>
    <t>Nº ROLLO</t>
  </si>
  <si>
    <t>CONFECCIÓN:</t>
  </si>
  <si>
    <t>DESPACHO</t>
  </si>
  <si>
    <t>Popelina 155</t>
  </si>
  <si>
    <t>Popelina 310</t>
  </si>
  <si>
    <t>Pearl 155</t>
  </si>
  <si>
    <t>Pearl 310</t>
  </si>
  <si>
    <t>Pearl 160 HP</t>
  </si>
  <si>
    <t>productos</t>
  </si>
  <si>
    <t>medida ancho cms</t>
  </si>
  <si>
    <t>medida alto cms</t>
  </si>
  <si>
    <t>texto confección</t>
  </si>
  <si>
    <t>texto producción</t>
  </si>
  <si>
    <t>confección unit</t>
  </si>
  <si>
    <t>estructura 1 unit</t>
  </si>
  <si>
    <t>estructura 2 unit</t>
  </si>
  <si>
    <t>bastas 2 cms doble costura, cinta nylon con 3 pasadores reforzados para argolla media caña</t>
  </si>
  <si>
    <t>dar 2 cms peimetrales</t>
  </si>
  <si>
    <t>bastas 2 cms doble costura, cinta nylon con 4 pasadores reforzados para argolla media caña</t>
  </si>
  <si>
    <t>bastas 2 cms doble costura, cinta nylon con 2 pasadores reforzados para argolla media caña</t>
  </si>
  <si>
    <t>solo estructura</t>
  </si>
  <si>
    <t xml:space="preserve">Bolso de transporte con ruedas 1 estructura panel araña </t>
  </si>
  <si>
    <t>sin confección</t>
  </si>
  <si>
    <t>Bolso de transporte con ruedas 2 estructuras panel araña</t>
  </si>
  <si>
    <t>Cosmetiquero 20x30 cms 1 cara</t>
  </si>
  <si>
    <t>reverso, cierre y forro al tono, con fuelle 4 cms</t>
  </si>
  <si>
    <t>Cosmetiquero 20x30 cms tiro y retiro</t>
  </si>
  <si>
    <t>cierre y forro al tono, con fuelle 4 cms</t>
  </si>
  <si>
    <t>1 cms laterales, 2 cms arriba. Tiro y retiro unidos abajo dar 2 cms a la unión</t>
  </si>
  <si>
    <t>Cubre alarma</t>
  </si>
  <si>
    <t>costuras con recta perimetral y basta simple abajo</t>
  </si>
  <si>
    <t>1 cms laterales, 2 cms abajo y 3 cms arriba</t>
  </si>
  <si>
    <t>Estuche 18x23 cms  1 cara</t>
  </si>
  <si>
    <t>reverso, cierre y forro al tono, sin fuelle</t>
  </si>
  <si>
    <t>1 cms laterales, 1 cms abajo y 2 cms arriba</t>
  </si>
  <si>
    <t>Estuche 18x23 cms  tiro y retiro</t>
  </si>
  <si>
    <t>cierre y forro al tono, sin fuelle</t>
  </si>
  <si>
    <t>1 cms laterales, 2 cms arriba. Tiro y retiro unidos abajo</t>
  </si>
  <si>
    <t>Estuche lapicero 5x20 cms</t>
  </si>
  <si>
    <t xml:space="preserve">1 pieza de </t>
  </si>
  <si>
    <t>Estuches lentes 22x12  cms tiro y retiro</t>
  </si>
  <si>
    <t xml:space="preserve">basta de 2 cms terminada, sin forro. Tira elástica para cerrar. </t>
  </si>
  <si>
    <t>1 cms laterales y abajo. Arriba 3 cms para basta</t>
  </si>
  <si>
    <t>costuras con overlock y basta simple abajo</t>
  </si>
  <si>
    <t>dar 1 cms perimetral y coser con trasera mismo tamaño estrcuturas</t>
  </si>
  <si>
    <t>Funda Almohada 50x70 cms 1 cara , reverso con cruce</t>
  </si>
  <si>
    <t>reverso en tela al tono, con cruce de 10 cms, overlock perimetral</t>
  </si>
  <si>
    <t>dar 1 cms perimetral</t>
  </si>
  <si>
    <t>Funda Almohada 50x70 cms tiro y retiro cierre lateral</t>
  </si>
  <si>
    <t xml:space="preserve">overlock, cierre lateral con pestaña </t>
  </si>
  <si>
    <t>1 cms arriba y abajo. Lado derecho con 2 cms para cierre.</t>
  </si>
  <si>
    <t>Funda Almohada 50x90 cms 1 cara , reverso con cruce</t>
  </si>
  <si>
    <t>Funda Almohada 50x90 cms tiro y retiro cierre lateral</t>
  </si>
  <si>
    <t>cierre abajo, overlock</t>
  </si>
  <si>
    <t>dar 1 cms perimetral laterales y arriba, abajo 2 cms para cierre</t>
  </si>
  <si>
    <t>Funda Cojín 40x40 cms 1 cara, cierre abajo</t>
  </si>
  <si>
    <t>reverso en tela al tono, cierre abajo, overlock perimetral</t>
  </si>
  <si>
    <t>Funda Cojín 40x40 cms tiro y retiro, cierre abajo</t>
  </si>
  <si>
    <t>Funda Cojín 50x50 cms 1 cara, cierre abajo</t>
  </si>
  <si>
    <t>Funda Cojín 50x50 cms tiro y retiro, cierre abajo</t>
  </si>
  <si>
    <t>basta perimetral</t>
  </si>
  <si>
    <t>dar 2 cms perimetrales para basta, traslape de 2 cms para calce</t>
  </si>
  <si>
    <t>basta ancha de 3 cms para ojetillos de 2 cms</t>
  </si>
  <si>
    <t>dar 4 cms perimetrales para ojetillos reforzados. Traslape de 2 cms para calce</t>
  </si>
  <si>
    <t>basta lateral y bolsillo de 5 cms terminado arriba y abajo</t>
  </si>
  <si>
    <t>traslape de paños de 2 cms,  2 cms en los laterales para bastas y 7 cms arriba y abajo para bolsillos de 5 cms terminado</t>
  </si>
  <si>
    <t>dar 2 cms en los laterales para bastas y 7 cms arriba y abajo para bolsillos</t>
  </si>
  <si>
    <t>dar 4 cms perimetrales y refuerzo para ojetillos</t>
  </si>
  <si>
    <t>excedente 2 cms para basta y refuerzo en las puntas con tela firme</t>
  </si>
  <si>
    <t>dar 2 cms perimetrales para confección</t>
  </si>
  <si>
    <t>dar 2 cms en los laterales para bastas y 7 cms arriba y abajo para bolsillos/basta, traslape de 2 cms para calce</t>
  </si>
  <si>
    <t>calce y basta perimetral</t>
  </si>
  <si>
    <t>calce con traslape de 2 cms, 2 cms perimetrales para basta</t>
  </si>
  <si>
    <t>Panel araña 1 cuerpo (228 cms alto x 75 cms de ancho) con textil</t>
  </si>
  <si>
    <t>velcro perimetral</t>
  </si>
  <si>
    <t>2 cms perimetral para velcro</t>
  </si>
  <si>
    <t>Panel araña 1 cuerpo (228 cms alto x 75 cms de ancho) solo estructura</t>
  </si>
  <si>
    <t>solo soporte</t>
  </si>
  <si>
    <t>Panel araña 2 cuerpos (228 cms alto x 150 cms de ancho) con textil</t>
  </si>
  <si>
    <t>Panel araña 2 cuerpos (228 cms alto x 150 cms de ancho) solo estructura</t>
  </si>
  <si>
    <t>Panel araña 3 cuerpos (228 cms alto x 230 cms de ancho) con textil</t>
  </si>
  <si>
    <t>Panel araña 3 cuerpos (228 cms alto x 230 cms de ancho) solo estructura</t>
  </si>
  <si>
    <t>Panel araña 4 cuerpos (228 cms alto x 300 cms de ancho) con textil</t>
  </si>
  <si>
    <t>Panel araña 4 cuerpos (228 cms alto x 300 cms de ancho) solo estructura</t>
  </si>
  <si>
    <t>Panel araña 5 cuerpos (228 cms alto x 375 cms de ancho) con textil</t>
  </si>
  <si>
    <t>Panel araña 5 cuerpos (228 cms alto x 375 cms de ancho) solo estructura</t>
  </si>
  <si>
    <t>Panel araña 6 cuerpos (228 cms alto x 450 cms de ancho) con textil</t>
  </si>
  <si>
    <t>Panel araña 6 cuerpos (228 cms alto x 450 cms de ancho) solo estructura</t>
  </si>
  <si>
    <t>Pañuelo 100x100 cms</t>
  </si>
  <si>
    <t>basta perimetra fina</t>
  </si>
  <si>
    <t>Pañuelo 50x50 cms</t>
  </si>
  <si>
    <t>Pañuelo 70x70 cms</t>
  </si>
  <si>
    <t>Pañuelo 90x90 cms</t>
  </si>
  <si>
    <t>Pareo 140x140 cms</t>
  </si>
  <si>
    <t>bolsillo con sesgo y costura al medio</t>
  </si>
  <si>
    <t>sesgo perimetral</t>
  </si>
  <si>
    <t xml:space="preserve">Piecera 2plazas con basta </t>
  </si>
  <si>
    <t>2 cms laterales y 3 cms arriba y abajo para embolsar</t>
  </si>
  <si>
    <t>Piecera 2plazas con forro</t>
  </si>
  <si>
    <t>forro embolsado de popelina de color</t>
  </si>
  <si>
    <t xml:space="preserve">Piecera king con basta </t>
  </si>
  <si>
    <t>Piecera king con forro</t>
  </si>
  <si>
    <t>Textil panel araña 1 cuerpo (228 cms alto x 75 cms de ancho) sin estructura</t>
  </si>
  <si>
    <t>Textil panel araña 2 cuerpos (228 cms alto x 150 cms de ancho) sin estructura</t>
  </si>
  <si>
    <t>Textil panel araña 3 cuerpos (228 cms alto x 230 cms de ancho) sin estructura</t>
  </si>
  <si>
    <t>Textil panel araña 4 cuerpos (228 cms alto x 300 cms de ancho) sin estructura</t>
  </si>
  <si>
    <t>Textil panel araña 5 cuerpos (228 cms alto x 375 cms de ancho) sin estructura</t>
  </si>
  <si>
    <t>Textil panel araña 6 cuerpos (228 cms alto x 450 cms de ancho) sin estructura</t>
  </si>
  <si>
    <t>Totebag 30x40 1 cara sin fuelle</t>
  </si>
  <si>
    <t>tirantes misma tela , costura overlock con seguridad, refuerzo X en manillas, basta arriba doble de 5 cms terminada</t>
  </si>
  <si>
    <t>dar 1 cms laterales y abajo, arriba dejar 11 cms para basta reforzada</t>
  </si>
  <si>
    <t>Totebag 30x40 tiro y retiro sin fuelle</t>
  </si>
  <si>
    <t>1 cms laterales, 11 cms arriba. Tiro y retiro unidos abajo</t>
  </si>
  <si>
    <t>elastico lateral, basta simple abajo y lado recto</t>
  </si>
  <si>
    <t>Textil Backlight</t>
  </si>
  <si>
    <t>valor x ML</t>
  </si>
  <si>
    <t>Caja + Backlight</t>
  </si>
  <si>
    <t>Productos</t>
  </si>
  <si>
    <t>Asta fibra de vidrio vela 2 mts</t>
  </si>
  <si>
    <t>Asta fibra de vidrio vela 3 mts</t>
  </si>
  <si>
    <t>Bandera 2,3x1,5</t>
  </si>
  <si>
    <t>Bandera 3x2</t>
  </si>
  <si>
    <t>Bandera 1,5x1</t>
  </si>
  <si>
    <t xml:space="preserve">Base auto </t>
  </si>
  <si>
    <t>Base suelo metal más accesorio para rellenar</t>
  </si>
  <si>
    <t>Base suelo plástico para rellenar</t>
  </si>
  <si>
    <t xml:space="preserve">Estaca </t>
  </si>
  <si>
    <t>Forro textil soporte muro 2,3x2,3 mts tiro y retiro</t>
  </si>
  <si>
    <t xml:space="preserve">Lienzo con uniones con calce con  basta </t>
  </si>
  <si>
    <t>Lienzo con uniones con calce con  ojetillos perimetrales</t>
  </si>
  <si>
    <t>Lienzo con uniones con calce,  bolsillos, fleje plástico arriba y abajo con hilos para colgar transparente</t>
  </si>
  <si>
    <t>Lienzo con uniones con calce, basta o bolsillo SIN estructuras</t>
  </si>
  <si>
    <t>Lienzo con uniones con calce, bolsillos, madera exterior ambas caras arriba y abajo con cáncamos y cable para colgar</t>
  </si>
  <si>
    <t>Lienzo con uniones con calce, bolsillos, tubo metálico arriba y pletina metálica abajo con cable y candados</t>
  </si>
  <si>
    <t>Lienzo simple con  basta o bolsillo SIN estructuras hasta 150cms  de ancho</t>
  </si>
  <si>
    <t>Lienzo simple con bolsillos hasta 150 cms de ancho, fleje plástico arriba y abajo con hilos para colgar transparente</t>
  </si>
  <si>
    <t>Lienzo simple con bolsillos hasta 150 cms de ancho, madera exterior ambas caras arriba y abajo con cáncamos y cable para colgar</t>
  </si>
  <si>
    <t>Lienzo simple con bolsillos hasta 150 cms de ancho, tubo metálico arriba y pletina metálica abajo con cable y candados</t>
  </si>
  <si>
    <t xml:space="preserve">Lienzo simple con ojetillos perimetrales reforzados cada 30 cms </t>
  </si>
  <si>
    <t xml:space="preserve">Lienzo simple con ojetillos perimetrales reforzados cada 50 cms </t>
  </si>
  <si>
    <t>Lienzo simple con ojetillos reforzados 4 esquinas</t>
  </si>
  <si>
    <t xml:space="preserve">Lienzo tiro y retiro con basta o bolsillos  SIN estructuras </t>
  </si>
  <si>
    <t>Lienzo tiro y retiro con uniones con calce sin estructutas</t>
  </si>
  <si>
    <t>Lienzo tiro y retiro con uniones con calce,  bolsillo tubo metálico arriba y pletina metálica abajo con cable y candados</t>
  </si>
  <si>
    <t>Lienzo tiro y retiro, madera exterior ambas caras arriba y abajo con cáncamos y cable para colgar</t>
  </si>
  <si>
    <t>Lienzo tiro y retiro, tubo metálico arriba y pletina metálica abajo con cable y candados</t>
  </si>
  <si>
    <t>Mantel basta perimetral 150x150</t>
  </si>
  <si>
    <t>Mantel con calce y basta 210x300</t>
  </si>
  <si>
    <t>Pechera adulto con boslillo</t>
  </si>
  <si>
    <t>Pechera adulto simple</t>
  </si>
  <si>
    <t>Pechera niño con bolsillo</t>
  </si>
  <si>
    <t>Pechera niño simple</t>
  </si>
  <si>
    <t>Soporte muro textil tubo aluminio 2.3x2.3 mts</t>
  </si>
  <si>
    <t>Soporte muro textil tubo aluminio 2.3x2.3 mts + forro textil tiro y retiro</t>
  </si>
  <si>
    <t>Vela 70x200 con  asta de fibra de vidrio y base metálica suelo</t>
  </si>
  <si>
    <t>Vela 70x200 con  asta de fibra de vidrio y base plástica suelo</t>
  </si>
  <si>
    <t>Vela 70x200 con  asta de fibra de vidrio y estaca</t>
  </si>
  <si>
    <t>Vela 70x200 sin estructura</t>
  </si>
  <si>
    <t>Vela 70x200 solo con  asta de fibra de vidrio</t>
  </si>
  <si>
    <t>Vela 75x220 con  asta de fibra de vidrio y base metálica suelo</t>
  </si>
  <si>
    <t>Vela 75x220 con  asta de fibra de vidrio y base plástica suelo</t>
  </si>
  <si>
    <t>Vela 75x220 con  asta de fibra de vidrio y estaca</t>
  </si>
  <si>
    <t>Vela 75x220 sin estructura</t>
  </si>
  <si>
    <t>Vela 75x220 solo con  asta de fibra de vidrio</t>
  </si>
  <si>
    <t>Vela 90x300 con  asta de fibra de vidrio y base metálica suelo</t>
  </si>
  <si>
    <t>Vela 90x300 con  asta de fibra de vidrio y base plástica suelo</t>
  </si>
  <si>
    <t>Vela 90x300 con  asta de fibra de vidrio y estaca</t>
  </si>
  <si>
    <t>Vela 90x300 sin estructura</t>
  </si>
  <si>
    <t>Vela 90x300 solo con  asta de fibra de vidrio</t>
  </si>
  <si>
    <t>Canvas tarpaulin</t>
  </si>
  <si>
    <t>Crea sábana algodón</t>
  </si>
  <si>
    <t>Crea sábana poliester</t>
  </si>
  <si>
    <t>Cuerina</t>
  </si>
  <si>
    <t>Felpa gruesa</t>
  </si>
  <si>
    <t>Franela</t>
  </si>
  <si>
    <t>Gabardina antiflu</t>
  </si>
  <si>
    <t>Gasa</t>
  </si>
  <si>
    <t>Gasa rustica</t>
  </si>
  <si>
    <t>Hole</t>
  </si>
  <si>
    <t>Lanilla</t>
  </si>
  <si>
    <t>Lino 100%</t>
  </si>
  <si>
    <t>Lino arena</t>
  </si>
  <si>
    <t>Lona algodón blanca</t>
  </si>
  <si>
    <t>Lona cruda algodón</t>
  </si>
  <si>
    <t>Loneta cruda algodón</t>
  </si>
  <si>
    <t>Mesh mate con traspaso</t>
  </si>
  <si>
    <t>Papel mural liso</t>
  </si>
  <si>
    <t>Papel mural textura</t>
  </si>
  <si>
    <t>Popelina anti agua</t>
  </si>
  <si>
    <t>Popelina glossy 280</t>
  </si>
  <si>
    <t>Popelina panel</t>
  </si>
  <si>
    <t>Satin delgado</t>
  </si>
  <si>
    <t>Satin grueso</t>
  </si>
  <si>
    <t>Seda sintética</t>
  </si>
  <si>
    <t>Stretch</t>
  </si>
  <si>
    <t>Taslan</t>
  </si>
  <si>
    <t>Velo liso</t>
  </si>
  <si>
    <t>Blackout</t>
  </si>
  <si>
    <t>Base auto</t>
  </si>
  <si>
    <t>Bolso de transporte con ruedas 1 estructura panel araña</t>
  </si>
  <si>
    <t>Estaca</t>
  </si>
  <si>
    <t>Lienzo con uniones con calce con  basta</t>
  </si>
  <si>
    <t>Lienzo simple con ojetillos perimetrales reforzados cada 30 cms</t>
  </si>
  <si>
    <t>Lienzo simple con ojetillos perimetrales reforzados cada 50 cms</t>
  </si>
  <si>
    <t>Lienzo tiro y retiro con basta o bolsillos  SIN estructuras</t>
  </si>
  <si>
    <t>Piecera 2plazas con basta</t>
  </si>
  <si>
    <t>Piecera king con basta</t>
  </si>
  <si>
    <t>OBSERVACION</t>
  </si>
  <si>
    <t>Descripción:</t>
  </si>
  <si>
    <t>Nombre del 
Trabajo</t>
  </si>
  <si>
    <t>Nombre:</t>
  </si>
  <si>
    <t>Malla front led 12v 6000 k</t>
  </si>
  <si>
    <t>Valor Impresión Unit</t>
  </si>
  <si>
    <t>WATTS</t>
  </si>
  <si>
    <t>Columna1</t>
  </si>
  <si>
    <t>Producto nro</t>
  </si>
  <si>
    <t>Bistretch</t>
  </si>
  <si>
    <t>Jersey</t>
  </si>
  <si>
    <t>Lona impermeable</t>
  </si>
  <si>
    <t>Lona rústica</t>
  </si>
  <si>
    <t>Lycra</t>
  </si>
  <si>
    <t>Mirror</t>
  </si>
  <si>
    <t>Polar</t>
  </si>
  <si>
    <t>Sun out</t>
  </si>
  <si>
    <t>2 FP 350 watts - 24v MEAN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</si>
</sst>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164" formatCode="_(&quot;$&quot;* #,##0_);_(&quot;$&quot;* \(#,##0\);_(&quot;$&quot;* &quot;-&quot;_);_(@_)"/>
    <numFmt numFmtId="165" formatCode="_-&quot;$&quot;\ * #,##0.00_-;\-&quot;$&quot;\ * #,##0.00_-;_-&quot;$&quot;\ * &quot;-&quot;??_-;_-@_-"/>
    <numFmt numFmtId="166" formatCode="_-[$$-340A]\ * #,##0_-;\-[$$-340A]\ * #,##0_-;_-[$$-340A]\ * &quot;-&quot;??_-;_-@_-"/>
    <numFmt numFmtId="167" formatCode="0.000"/>
    <numFmt numFmtId="168" formatCode="[$-F400]h:mm:ss\ AM/PM"/>
    <numFmt numFmtId="169" formatCode="_-&quot;$&quot;\ * #,##0_-;\-&quot;$&quot;\ * #,##0_-;_-&quot;$&quot;\ * &quot;-&quot;??_-;_-@_-"/>
    <numFmt numFmtId="170" formatCode="_-[$$-1409]* #,##0.0_-;\-[$$-1409]* #,##0.0_-;_-[$$-1409]* &quot;-&quot;?_-;_-@_-"/>
    <numFmt numFmtId="171" formatCode="0.0000"/>
    <numFmt numFmtId="172" formatCode="0.0"/>
    <numFmt numFmtId="173" formatCode="_-[$$-1409]* #,##0.0000_-;\-[$$-1409]* #,##0.0000_-;_-[$$-1409]* &quot;-&quot;????_-;_-@_-"/>
    <numFmt numFmtId="174" formatCode="dd/mm/yy;@"/>
    <numFmt numFmtId="175" formatCode="_-&quot;$&quot;* #,##0_-;\-&quot;$&quot;* #,##0_-;_-&quot;$&quot;* &quot;-&quot;???_-;_-@_-"/>
    <numFmt numFmtId="176" formatCode="[$-340A]dddd\,\ dd&quot; de &quot;mmmm&quot; de &quot;yyyy;@"/>
  </numFmts>
  <fonts count="9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rgb="FF454545"/>
      <name val="Consolas"/>
      <family val="3"/>
    </font>
    <font>
      <sz val="8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Verdana"/>
      <family val="2"/>
    </font>
    <font>
      <sz val="11"/>
      <color indexed="8"/>
      <name val="Calibri"/>
      <family val="2"/>
    </font>
    <font>
      <sz val="12"/>
      <color indexed="63"/>
      <name val="Calibri"/>
      <family val="2"/>
    </font>
    <font>
      <b/>
      <sz val="12"/>
      <color indexed="63"/>
      <name val="Calibri"/>
      <family val="2"/>
    </font>
    <font>
      <sz val="12"/>
      <color indexed="8"/>
      <name val="Calibri"/>
      <family val="2"/>
    </font>
    <font>
      <b/>
      <sz val="12"/>
      <color indexed="9"/>
      <name val="Calibri"/>
      <family val="2"/>
    </font>
    <font>
      <sz val="12"/>
      <color indexed="63"/>
      <name val="Copperplate Light"/>
    </font>
    <font>
      <b/>
      <sz val="12"/>
      <color indexed="8"/>
      <name val="Calibri"/>
      <family val="2"/>
    </font>
    <font>
      <sz val="12"/>
      <color indexed="63"/>
      <name val="Consolas"/>
      <family val="3"/>
    </font>
    <font>
      <sz val="12"/>
      <color indexed="8"/>
      <name val="Copperplate Gothic Light"/>
      <family val="2"/>
    </font>
    <font>
      <b/>
      <sz val="12"/>
      <color indexed="63"/>
      <name val="Arial"/>
      <family val="2"/>
    </font>
    <font>
      <b/>
      <sz val="16"/>
      <color indexed="63"/>
      <name val="Calibri"/>
      <family val="2"/>
    </font>
    <font>
      <sz val="12"/>
      <color indexed="63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color indexed="9"/>
      <name val="Calibri"/>
      <family val="2"/>
    </font>
    <font>
      <sz val="12"/>
      <color indexed="9"/>
      <name val="Copperplate Light"/>
    </font>
    <font>
      <sz val="11"/>
      <color indexed="9"/>
      <name val="Calibri"/>
      <family val="2"/>
    </font>
    <font>
      <b/>
      <sz val="12"/>
      <color indexed="63"/>
      <name val="Copperplate Gothic Light"/>
      <family val="2"/>
    </font>
    <font>
      <b/>
      <sz val="14"/>
      <color indexed="9"/>
      <name val="Calibri"/>
      <family val="2"/>
    </font>
    <font>
      <u/>
      <sz val="11"/>
      <color theme="11"/>
      <name val="Calibri"/>
      <family val="2"/>
      <scheme val="minor"/>
    </font>
    <font>
      <b/>
      <sz val="12"/>
      <color indexed="10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0"/>
      <color indexed="8"/>
      <name val="Arial"/>
      <family val="2"/>
    </font>
    <font>
      <sz val="16"/>
      <color indexed="8"/>
      <name val="Arial"/>
      <family val="2"/>
    </font>
    <font>
      <sz val="16"/>
      <color indexed="63"/>
      <name val="Calibri"/>
      <family val="2"/>
    </font>
    <font>
      <b/>
      <sz val="12"/>
      <color theme="3" tint="-0.249977111117893"/>
      <name val="Calibri"/>
      <family val="2"/>
    </font>
    <font>
      <b/>
      <sz val="16"/>
      <color indexed="8"/>
      <name val="Apple Emoji color"/>
    </font>
    <font>
      <b/>
      <sz val="16"/>
      <color theme="1"/>
      <name val="Calibri"/>
      <family val="2"/>
      <scheme val="minor"/>
    </font>
    <font>
      <b/>
      <sz val="18"/>
      <name val="Calibri"/>
      <family val="2"/>
    </font>
    <font>
      <b/>
      <sz val="16"/>
      <color indexed="63"/>
      <name val="Arial"/>
      <family val="2"/>
    </font>
    <font>
      <b/>
      <sz val="14"/>
      <color theme="3" tint="-0.249977111117893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indexed="8"/>
      <name val="Al Bayan Plain"/>
    </font>
    <font>
      <b/>
      <sz val="16"/>
      <color indexed="8"/>
      <name val="Calibri"/>
      <family val="2"/>
      <scheme val="minor"/>
    </font>
    <font>
      <b/>
      <sz val="14"/>
      <color rgb="FFFF0000"/>
      <name val="Al Bayan Plain"/>
    </font>
    <font>
      <b/>
      <sz val="14"/>
      <color indexed="63"/>
      <name val="Calibri (Cuerpo)_x0000_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b/>
      <sz val="14"/>
      <color indexed="63"/>
      <name val="Calibri"/>
      <family val="2"/>
    </font>
    <font>
      <b/>
      <sz val="14"/>
      <color theme="5" tint="-0.499984740745262"/>
      <name val="Calibri"/>
      <family val="2"/>
      <scheme val="minor"/>
    </font>
    <font>
      <b/>
      <sz val="14"/>
      <color indexed="8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Copperplate Gothic Light"/>
      <family val="2"/>
    </font>
    <font>
      <b/>
      <sz val="12"/>
      <color rgb="FFFF0000"/>
      <name val="Calibri"/>
      <family val="2"/>
    </font>
    <font>
      <b/>
      <sz val="12"/>
      <name val="Calibri"/>
      <family val="2"/>
    </font>
    <font>
      <b/>
      <sz val="14"/>
      <color indexed="63"/>
      <name val="Calibri"/>
      <family val="2"/>
      <scheme val="minor"/>
    </font>
    <font>
      <sz val="14"/>
      <color indexed="63"/>
      <name val="Calibri"/>
      <family val="2"/>
    </font>
    <font>
      <b/>
      <sz val="14"/>
      <color rgb="FF333333"/>
      <name val="Calibri"/>
      <family val="2"/>
    </font>
    <font>
      <b/>
      <sz val="12"/>
      <color rgb="FFFF0000"/>
      <name val="Copperplate Light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</font>
    <font>
      <sz val="12"/>
      <name val="Calibri"/>
      <family val="2"/>
    </font>
    <font>
      <sz val="14"/>
      <color theme="1"/>
      <name val="Calibri"/>
      <family val="2"/>
      <scheme val="minor"/>
    </font>
    <font>
      <sz val="14"/>
      <color rgb="FFFF0000"/>
      <name val="Arial"/>
      <family val="2"/>
    </font>
    <font>
      <b/>
      <sz val="16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0000"/>
      <name val="Arial"/>
      <family val="2"/>
    </font>
    <font>
      <u/>
      <sz val="12"/>
      <color indexed="63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u/>
      <sz val="12"/>
      <color indexed="8"/>
      <name val="Calibri"/>
      <family val="2"/>
    </font>
    <font>
      <b/>
      <sz val="18"/>
      <color theme="5" tint="-0.499984740745262"/>
      <name val="Calibri (Cuerpo)"/>
    </font>
    <font>
      <b/>
      <sz val="18"/>
      <color theme="5" tint="-0.499984740745262"/>
      <name val="Arial"/>
      <family val="2"/>
    </font>
    <font>
      <b/>
      <sz val="11"/>
      <color theme="5" tint="-0.499984740745262"/>
      <name val="Calibri"/>
      <family val="2"/>
      <scheme val="minor"/>
    </font>
    <font>
      <sz val="11"/>
      <color theme="5" tint="-0.499984740745262"/>
      <name val="Calibri (Cuerpo)"/>
    </font>
    <font>
      <sz val="16"/>
      <color theme="5" tint="-0.499984740745262"/>
      <name val="Calibri"/>
      <family val="2"/>
    </font>
    <font>
      <b/>
      <sz val="16"/>
      <color rgb="FFFF0000"/>
      <name val="Calibri"/>
      <family val="2"/>
      <scheme val="minor"/>
    </font>
    <font>
      <b/>
      <sz val="16"/>
      <color theme="5" tint="-0.499984740745262"/>
      <name val="Arial"/>
      <family val="2"/>
    </font>
    <font>
      <b/>
      <sz val="12"/>
      <color theme="0"/>
      <name val="Arial"/>
      <family val="2"/>
    </font>
    <font>
      <sz val="11"/>
      <color indexed="63"/>
      <name val="Arial"/>
      <family val="2"/>
    </font>
    <font>
      <sz val="11"/>
      <color theme="1"/>
      <name val="Andale Mono"/>
      <family val="2"/>
    </font>
    <font>
      <b/>
      <sz val="14"/>
      <color theme="1"/>
      <name val="Arial"/>
      <family val="2"/>
    </font>
    <font>
      <sz val="16"/>
      <color theme="1"/>
      <name val="Al Bayan Plain"/>
    </font>
    <font>
      <b/>
      <sz val="14"/>
      <color rgb="FFC00000"/>
      <name val="Arial"/>
      <family val="2"/>
    </font>
    <font>
      <sz val="14"/>
      <color rgb="FFC00000"/>
      <name val="Calibri"/>
      <family val="2"/>
      <scheme val="minor"/>
    </font>
    <font>
      <sz val="14"/>
      <color theme="1"/>
      <name val="Al Bayan Plain"/>
    </font>
    <font>
      <b/>
      <sz val="12"/>
      <color theme="0"/>
      <name val="Calibri"/>
      <family val="2"/>
      <scheme val="minor"/>
    </font>
    <font>
      <sz val="16"/>
      <color indexed="63"/>
      <name val="Copperplate Light"/>
    </font>
    <font>
      <sz val="14"/>
      <color indexed="8"/>
      <name val="Copperplate Gothic Light"/>
      <family val="2"/>
    </font>
    <font>
      <b/>
      <sz val="14"/>
      <color theme="1"/>
      <name val="Copperplate Gothic Light"/>
      <family val="2"/>
    </font>
    <font>
      <sz val="14"/>
      <color theme="1"/>
      <name val="Cambria"/>
      <family val="1"/>
      <scheme val="major"/>
    </font>
  </fonts>
  <fills count="3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8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rgb="FF35274A"/>
      </top>
      <bottom style="thin">
        <color auto="1"/>
      </bottom>
      <diagonal/>
    </border>
    <border>
      <left style="thin">
        <color rgb="FF35274A"/>
      </left>
      <right style="thin">
        <color rgb="FF35274A"/>
      </right>
      <top style="thin">
        <color rgb="FF35274A"/>
      </top>
      <bottom style="thin">
        <color rgb="FF35274A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theme="0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dotted">
        <color indexed="64"/>
      </left>
      <right style="dotted">
        <color indexed="64"/>
      </right>
      <top/>
      <bottom style="medium">
        <color auto="1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/>
      <right style="medium">
        <color auto="1"/>
      </right>
      <top style="dotted">
        <color indexed="64"/>
      </top>
      <bottom style="medium">
        <color auto="1"/>
      </bottom>
      <diagonal/>
    </border>
    <border>
      <left/>
      <right/>
      <top style="dotted">
        <color indexed="64"/>
      </top>
      <bottom style="medium">
        <color auto="1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dotted">
        <color rgb="FF002060"/>
      </left>
      <right style="dotted">
        <color rgb="FF002060"/>
      </right>
      <top style="thick">
        <color rgb="FF002060"/>
      </top>
      <bottom/>
      <diagonal/>
    </border>
    <border>
      <left style="dotted">
        <color rgb="FF002060"/>
      </left>
      <right style="dotted">
        <color rgb="FF002060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dotted">
        <color rgb="FF002060"/>
      </right>
      <top/>
      <bottom/>
      <diagonal/>
    </border>
    <border>
      <left style="thick">
        <color rgb="FF002060"/>
      </left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dotted">
        <color indexed="64"/>
      </left>
      <right/>
      <top/>
      <bottom/>
      <diagonal/>
    </border>
    <border>
      <left/>
      <right/>
      <top style="medium">
        <color auto="1"/>
      </top>
      <bottom style="dotted">
        <color indexed="64"/>
      </bottom>
      <diagonal/>
    </border>
    <border>
      <left/>
      <right style="medium">
        <color auto="1"/>
      </right>
      <top style="medium">
        <color auto="1"/>
      </top>
      <bottom style="dotted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</borders>
  <cellStyleXfs count="8">
    <xf numFmtId="0" fontId="0" fillId="0" borderId="0"/>
    <xf numFmtId="165" fontId="10" fillId="0" borderId="0" applyFont="0" applyFill="0" applyBorder="0" applyAlignment="0" applyProtection="0"/>
    <xf numFmtId="0" fontId="11" fillId="0" borderId="0"/>
    <xf numFmtId="9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6" fillId="0" borderId="0">
      <alignment vertical="top"/>
    </xf>
  </cellStyleXfs>
  <cellXfs count="655">
    <xf numFmtId="0" fontId="0" fillId="0" borderId="0" xfId="0"/>
    <xf numFmtId="0" fontId="0" fillId="0" borderId="1" xfId="0" applyBorder="1"/>
    <xf numFmtId="166" fontId="0" fillId="0" borderId="1" xfId="0" applyNumberFormat="1" applyBorder="1"/>
    <xf numFmtId="166" fontId="0" fillId="0" borderId="2" xfId="0" applyNumberFormat="1" applyBorder="1"/>
    <xf numFmtId="166" fontId="0" fillId="0" borderId="7" xfId="0" applyNumberFormat="1" applyBorder="1"/>
    <xf numFmtId="166" fontId="0" fillId="0" borderId="8" xfId="0" applyNumberFormat="1" applyBorder="1"/>
    <xf numFmtId="166" fontId="0" fillId="0" borderId="9" xfId="0" applyNumberFormat="1" applyBorder="1"/>
    <xf numFmtId="166" fontId="0" fillId="0" borderId="10" xfId="0" applyNumberFormat="1" applyBorder="1"/>
    <xf numFmtId="166" fontId="0" fillId="0" borderId="11" xfId="0" applyNumberFormat="1" applyBorder="1"/>
    <xf numFmtId="0" fontId="5" fillId="0" borderId="0" xfId="0" applyFont="1" applyAlignment="1">
      <alignment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right" vertical="center"/>
    </xf>
    <xf numFmtId="0" fontId="6" fillId="3" borderId="0" xfId="0" applyFont="1" applyFill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0" fontId="6" fillId="3" borderId="8" xfId="0" applyFont="1" applyFill="1" applyBorder="1" applyAlignment="1">
      <alignment vertical="center"/>
    </xf>
    <xf numFmtId="166" fontId="6" fillId="3" borderId="2" xfId="0" applyNumberFormat="1" applyFont="1" applyFill="1" applyBorder="1" applyAlignment="1">
      <alignment vertical="center"/>
    </xf>
    <xf numFmtId="166" fontId="6" fillId="3" borderId="7" xfId="0" applyNumberFormat="1" applyFont="1" applyFill="1" applyBorder="1" applyAlignment="1">
      <alignment vertical="center"/>
    </xf>
    <xf numFmtId="166" fontId="6" fillId="3" borderId="1" xfId="0" applyNumberFormat="1" applyFont="1" applyFill="1" applyBorder="1" applyAlignment="1">
      <alignment vertical="center"/>
    </xf>
    <xf numFmtId="166" fontId="6" fillId="3" borderId="8" xfId="0" applyNumberFormat="1" applyFont="1" applyFill="1" applyBorder="1" applyAlignment="1">
      <alignment vertical="center"/>
    </xf>
    <xf numFmtId="0" fontId="0" fillId="3" borderId="0" xfId="0" applyFill="1" applyAlignment="1">
      <alignment horizontal="left" vertical="center"/>
    </xf>
    <xf numFmtId="166" fontId="6" fillId="3" borderId="9" xfId="0" applyNumberFormat="1" applyFont="1" applyFill="1" applyBorder="1" applyAlignment="1">
      <alignment vertical="center"/>
    </xf>
    <xf numFmtId="166" fontId="6" fillId="3" borderId="10" xfId="0" applyNumberFormat="1" applyFont="1" applyFill="1" applyBorder="1" applyAlignment="1">
      <alignment vertical="center"/>
    </xf>
    <xf numFmtId="166" fontId="6" fillId="3" borderId="11" xfId="0" applyNumberFormat="1" applyFont="1" applyFill="1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7" fillId="3" borderId="0" xfId="0" applyFont="1" applyFill="1" applyAlignment="1">
      <alignment vertical="center" wrapText="1"/>
    </xf>
    <xf numFmtId="0" fontId="0" fillId="3" borderId="12" xfId="0" applyFill="1" applyBorder="1" applyAlignment="1">
      <alignment vertical="center"/>
    </xf>
    <xf numFmtId="166" fontId="0" fillId="3" borderId="1" xfId="0" applyNumberFormat="1" applyFill="1" applyBorder="1" applyAlignment="1">
      <alignment vertical="center"/>
    </xf>
    <xf numFmtId="167" fontId="0" fillId="3" borderId="0" xfId="0" applyNumberFormat="1" applyFill="1" applyAlignment="1">
      <alignment vertical="center"/>
    </xf>
    <xf numFmtId="1" fontId="0" fillId="3" borderId="0" xfId="0" applyNumberFormat="1" applyFill="1" applyAlignment="1">
      <alignment vertical="center"/>
    </xf>
    <xf numFmtId="166" fontId="0" fillId="3" borderId="0" xfId="0" applyNumberFormat="1" applyFill="1" applyAlignment="1">
      <alignment vertical="center"/>
    </xf>
    <xf numFmtId="0" fontId="5" fillId="3" borderId="0" xfId="0" applyFont="1" applyFill="1" applyAlignment="1">
      <alignment vertical="center" wrapText="1"/>
    </xf>
    <xf numFmtId="0" fontId="0" fillId="3" borderId="22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center" vertical="center"/>
    </xf>
    <xf numFmtId="168" fontId="0" fillId="3" borderId="1" xfId="0" applyNumberFormat="1" applyFill="1" applyBorder="1" applyAlignment="1">
      <alignment horizontal="center" vertical="center"/>
    </xf>
    <xf numFmtId="0" fontId="0" fillId="3" borderId="22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3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7" fontId="0" fillId="3" borderId="0" xfId="0" applyNumberForma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166" fontId="4" fillId="3" borderId="1" xfId="0" applyNumberFormat="1" applyFont="1" applyFill="1" applyBorder="1" applyAlignment="1">
      <alignment vertical="center"/>
    </xf>
    <xf numFmtId="0" fontId="0" fillId="3" borderId="24" xfId="0" applyFill="1" applyBorder="1" applyAlignment="1">
      <alignment vertical="center"/>
    </xf>
    <xf numFmtId="0" fontId="0" fillId="3" borderId="22" xfId="0" applyFill="1" applyBorder="1" applyAlignment="1">
      <alignment horizontal="left" vertical="center"/>
    </xf>
    <xf numFmtId="14" fontId="0" fillId="3" borderId="22" xfId="0" applyNumberFormat="1" applyFill="1" applyBorder="1" applyAlignment="1">
      <alignment vertical="center"/>
    </xf>
    <xf numFmtId="0" fontId="4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7" xfId="0" applyFont="1" applyBorder="1"/>
    <xf numFmtId="0" fontId="4" fillId="0" borderId="8" xfId="0" applyFont="1" applyBorder="1"/>
    <xf numFmtId="0" fontId="14" fillId="3" borderId="0" xfId="0" applyFont="1" applyFill="1" applyAlignment="1">
      <alignment vertical="center"/>
    </xf>
    <xf numFmtId="0" fontId="15" fillId="3" borderId="0" xfId="0" applyFont="1" applyFill="1" applyAlignment="1">
      <alignment vertical="center"/>
    </xf>
    <xf numFmtId="0" fontId="15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right" vertical="center"/>
    </xf>
    <xf numFmtId="14" fontId="16" fillId="3" borderId="25" xfId="0" applyNumberFormat="1" applyFont="1" applyFill="1" applyBorder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168" fontId="16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4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left" vertical="center"/>
    </xf>
    <xf numFmtId="1" fontId="14" fillId="3" borderId="0" xfId="0" applyNumberFormat="1" applyFont="1" applyFill="1" applyAlignment="1">
      <alignment vertical="center"/>
    </xf>
    <xf numFmtId="2" fontId="16" fillId="3" borderId="0" xfId="0" applyNumberFormat="1" applyFont="1" applyFill="1" applyAlignment="1">
      <alignment horizontal="center" vertical="center"/>
    </xf>
    <xf numFmtId="0" fontId="20" fillId="3" borderId="0" xfId="0" applyFont="1" applyFill="1" applyAlignment="1">
      <alignment vertical="center" wrapText="1"/>
    </xf>
    <xf numFmtId="0" fontId="14" fillId="3" borderId="7" xfId="0" applyFont="1" applyFill="1" applyBorder="1" applyAlignment="1">
      <alignment vertical="center"/>
    </xf>
    <xf numFmtId="0" fontId="14" fillId="3" borderId="8" xfId="0" applyFont="1" applyFill="1" applyBorder="1" applyAlignment="1">
      <alignment vertical="center"/>
    </xf>
    <xf numFmtId="14" fontId="14" fillId="3" borderId="26" xfId="0" applyNumberFormat="1" applyFont="1" applyFill="1" applyBorder="1" applyAlignment="1">
      <alignment horizontal="center" vertical="center"/>
    </xf>
    <xf numFmtId="166" fontId="14" fillId="3" borderId="7" xfId="0" applyNumberFormat="1" applyFont="1" applyFill="1" applyBorder="1" applyAlignment="1">
      <alignment vertical="center"/>
    </xf>
    <xf numFmtId="166" fontId="14" fillId="3" borderId="8" xfId="0" applyNumberFormat="1" applyFont="1" applyFill="1" applyBorder="1" applyAlignment="1">
      <alignment vertical="center"/>
    </xf>
    <xf numFmtId="0" fontId="14" fillId="3" borderId="0" xfId="0" applyFont="1" applyFill="1" applyAlignment="1">
      <alignment horizontal="right"/>
    </xf>
    <xf numFmtId="0" fontId="16" fillId="3" borderId="0" xfId="0" applyFont="1" applyFill="1" applyAlignment="1">
      <alignment horizontal="left" vertical="center" wrapText="1"/>
    </xf>
    <xf numFmtId="166" fontId="14" fillId="3" borderId="9" xfId="0" applyNumberFormat="1" applyFont="1" applyFill="1" applyBorder="1" applyAlignment="1">
      <alignment vertical="center"/>
    </xf>
    <xf numFmtId="166" fontId="14" fillId="3" borderId="10" xfId="0" applyNumberFormat="1" applyFont="1" applyFill="1" applyBorder="1" applyAlignment="1">
      <alignment vertical="center"/>
    </xf>
    <xf numFmtId="169" fontId="16" fillId="3" borderId="0" xfId="1" applyNumberFormat="1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left" vertical="center" wrapText="1"/>
    </xf>
    <xf numFmtId="0" fontId="23" fillId="3" borderId="0" xfId="0" applyFont="1" applyFill="1" applyAlignment="1">
      <alignment horizontal="center" vertical="center"/>
    </xf>
    <xf numFmtId="0" fontId="14" fillId="5" borderId="13" xfId="0" applyFont="1" applyFill="1" applyBorder="1" applyAlignment="1">
      <alignment vertical="center"/>
    </xf>
    <xf numFmtId="0" fontId="14" fillId="4" borderId="23" xfId="0" applyFont="1" applyFill="1" applyBorder="1" applyAlignment="1">
      <alignment vertical="center"/>
    </xf>
    <xf numFmtId="0" fontId="18" fillId="4" borderId="0" xfId="0" applyFont="1" applyFill="1" applyAlignment="1">
      <alignment horizontal="left" vertical="center"/>
    </xf>
    <xf numFmtId="0" fontId="0" fillId="0" borderId="0" xfId="0" applyAlignment="1">
      <alignment vertical="center" wrapText="1"/>
    </xf>
    <xf numFmtId="0" fontId="27" fillId="3" borderId="0" xfId="0" applyFont="1" applyFill="1" applyAlignment="1">
      <alignment vertical="center"/>
    </xf>
    <xf numFmtId="0" fontId="28" fillId="0" borderId="0" xfId="0" applyFont="1" applyAlignment="1">
      <alignment horizontal="left" vertical="center"/>
    </xf>
    <xf numFmtId="0" fontId="29" fillId="0" borderId="0" xfId="0" applyFont="1"/>
    <xf numFmtId="0" fontId="27" fillId="3" borderId="0" xfId="0" applyFont="1" applyFill="1" applyAlignment="1">
      <alignment horizontal="right" vertical="center"/>
    </xf>
    <xf numFmtId="0" fontId="30" fillId="3" borderId="12" xfId="0" applyFont="1" applyFill="1" applyBorder="1" applyAlignment="1">
      <alignment horizontal="left" vertical="center"/>
    </xf>
    <xf numFmtId="0" fontId="30" fillId="4" borderId="0" xfId="0" applyFont="1" applyFill="1" applyAlignment="1">
      <alignment horizontal="left" vertical="center"/>
    </xf>
    <xf numFmtId="9" fontId="0" fillId="0" borderId="0" xfId="3" applyFont="1" applyFill="1" applyBorder="1"/>
    <xf numFmtId="0" fontId="17" fillId="9" borderId="27" xfId="0" applyFont="1" applyFill="1" applyBorder="1" applyAlignment="1">
      <alignment horizontal="left" vertical="center"/>
    </xf>
    <xf numFmtId="0" fontId="17" fillId="9" borderId="29" xfId="0" applyFont="1" applyFill="1" applyBorder="1" applyAlignment="1">
      <alignment horizontal="left" vertical="center"/>
    </xf>
    <xf numFmtId="0" fontId="14" fillId="9" borderId="5" xfId="0" applyFont="1" applyFill="1" applyBorder="1" applyAlignment="1">
      <alignment vertical="center"/>
    </xf>
    <xf numFmtId="0" fontId="14" fillId="9" borderId="6" xfId="0" applyFont="1" applyFill="1" applyBorder="1" applyAlignment="1">
      <alignment vertical="center"/>
    </xf>
    <xf numFmtId="0" fontId="17" fillId="9" borderId="28" xfId="0" applyFont="1" applyFill="1" applyBorder="1" applyAlignment="1">
      <alignment horizontal="left" vertical="center"/>
    </xf>
    <xf numFmtId="14" fontId="16" fillId="3" borderId="0" xfId="0" applyNumberFormat="1" applyFont="1" applyFill="1" applyAlignment="1">
      <alignment horizontal="center" vertical="center"/>
    </xf>
    <xf numFmtId="168" fontId="16" fillId="4" borderId="0" xfId="0" applyNumberFormat="1" applyFont="1" applyFill="1" applyAlignment="1">
      <alignment horizontal="center" vertical="center"/>
    </xf>
    <xf numFmtId="166" fontId="27" fillId="0" borderId="0" xfId="0" applyNumberFormat="1" applyFont="1" applyAlignment="1">
      <alignment vertical="center"/>
    </xf>
    <xf numFmtId="166" fontId="16" fillId="4" borderId="0" xfId="0" applyNumberFormat="1" applyFont="1" applyFill="1" applyAlignment="1">
      <alignment vertical="center"/>
    </xf>
    <xf numFmtId="0" fontId="0" fillId="0" borderId="0" xfId="0" applyAlignment="1">
      <alignment wrapText="1"/>
    </xf>
    <xf numFmtId="0" fontId="14" fillId="0" borderId="0" xfId="0" applyFont="1" applyAlignment="1">
      <alignment horizontal="right" vertical="center"/>
    </xf>
    <xf numFmtId="0" fontId="14" fillId="3" borderId="0" xfId="0" applyFont="1" applyFill="1" applyAlignment="1">
      <alignment vertical="center" wrapText="1"/>
    </xf>
    <xf numFmtId="0" fontId="0" fillId="7" borderId="34" xfId="0" applyFill="1" applyBorder="1" applyAlignment="1">
      <alignment wrapText="1"/>
    </xf>
    <xf numFmtId="0" fontId="14" fillId="0" borderId="34" xfId="0" applyFont="1" applyBorder="1" applyAlignment="1">
      <alignment vertical="center"/>
    </xf>
    <xf numFmtId="9" fontId="0" fillId="0" borderId="34" xfId="3" applyFont="1" applyFill="1" applyBorder="1"/>
    <xf numFmtId="0" fontId="14" fillId="0" borderId="1" xfId="0" applyFont="1" applyBorder="1" applyAlignment="1">
      <alignment vertical="center"/>
    </xf>
    <xf numFmtId="9" fontId="0" fillId="0" borderId="1" xfId="3" applyFont="1" applyFill="1" applyBorder="1"/>
    <xf numFmtId="9" fontId="14" fillId="0" borderId="0" xfId="0" applyNumberFormat="1" applyFont="1" applyAlignment="1">
      <alignment vertical="center"/>
    </xf>
    <xf numFmtId="166" fontId="16" fillId="0" borderId="0" xfId="0" applyNumberFormat="1" applyFont="1" applyAlignment="1">
      <alignment horizontal="center" vertical="center"/>
    </xf>
    <xf numFmtId="0" fontId="21" fillId="3" borderId="0" xfId="0" applyFont="1" applyFill="1" applyAlignment="1">
      <alignment horizontal="left" wrapText="1"/>
    </xf>
    <xf numFmtId="0" fontId="14" fillId="3" borderId="0" xfId="0" applyFont="1" applyFill="1" applyAlignment="1">
      <alignment horizontal="left" wrapText="1"/>
    </xf>
    <xf numFmtId="0" fontId="24" fillId="4" borderId="0" xfId="0" applyFont="1" applyFill="1" applyAlignment="1">
      <alignment vertical="center"/>
    </xf>
    <xf numFmtId="0" fontId="25" fillId="0" borderId="0" xfId="0" applyFont="1"/>
    <xf numFmtId="0" fontId="44" fillId="11" borderId="28" xfId="0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0" fillId="0" borderId="34" xfId="0" applyBorder="1" applyAlignment="1">
      <alignment wrapText="1"/>
    </xf>
    <xf numFmtId="0" fontId="0" fillId="0" borderId="34" xfId="0" applyBorder="1"/>
    <xf numFmtId="0" fontId="16" fillId="0" borderId="0" xfId="0" applyFont="1" applyAlignment="1">
      <alignment horizontal="center" vertical="center"/>
    </xf>
    <xf numFmtId="171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72" fontId="19" fillId="0" borderId="0" xfId="0" applyNumberFormat="1" applyFont="1" applyAlignment="1">
      <alignment horizontal="center" vertical="center"/>
    </xf>
    <xf numFmtId="0" fontId="14" fillId="4" borderId="0" xfId="0" applyFont="1" applyFill="1" applyAlignment="1">
      <alignment vertical="center"/>
    </xf>
    <xf numFmtId="166" fontId="14" fillId="4" borderId="0" xfId="0" applyNumberFormat="1" applyFont="1" applyFill="1" applyAlignment="1">
      <alignment vertical="center"/>
    </xf>
    <xf numFmtId="170" fontId="14" fillId="4" borderId="0" xfId="0" applyNumberFormat="1" applyFont="1" applyFill="1" applyAlignment="1">
      <alignment vertical="center"/>
    </xf>
    <xf numFmtId="173" fontId="0" fillId="0" borderId="0" xfId="0" applyNumberFormat="1"/>
    <xf numFmtId="0" fontId="14" fillId="3" borderId="34" xfId="0" applyFont="1" applyFill="1" applyBorder="1" applyAlignment="1">
      <alignment vertical="center"/>
    </xf>
    <xf numFmtId="0" fontId="14" fillId="3" borderId="36" xfId="0" applyFont="1" applyFill="1" applyBorder="1" applyAlignment="1">
      <alignment vertical="center"/>
    </xf>
    <xf numFmtId="166" fontId="14" fillId="3" borderId="36" xfId="0" applyNumberFormat="1" applyFont="1" applyFill="1" applyBorder="1" applyAlignment="1">
      <alignment vertical="center"/>
    </xf>
    <xf numFmtId="166" fontId="14" fillId="3" borderId="34" xfId="0" applyNumberFormat="1" applyFont="1" applyFill="1" applyBorder="1" applyAlignment="1">
      <alignment vertical="center"/>
    </xf>
    <xf numFmtId="166" fontId="14" fillId="3" borderId="33" xfId="0" applyNumberFormat="1" applyFont="1" applyFill="1" applyBorder="1" applyAlignment="1">
      <alignment vertical="center"/>
    </xf>
    <xf numFmtId="1" fontId="16" fillId="3" borderId="34" xfId="0" applyNumberFormat="1" applyFont="1" applyFill="1" applyBorder="1" applyAlignment="1">
      <alignment horizontal="center" vertical="center"/>
    </xf>
    <xf numFmtId="169" fontId="16" fillId="3" borderId="34" xfId="1" applyNumberFormat="1" applyFont="1" applyFill="1" applyBorder="1" applyAlignment="1">
      <alignment horizontal="center" vertical="center"/>
    </xf>
    <xf numFmtId="1" fontId="38" fillId="3" borderId="27" xfId="0" applyNumberFormat="1" applyFont="1" applyFill="1" applyBorder="1" applyAlignment="1">
      <alignment horizontal="center" vertical="center" wrapText="1"/>
    </xf>
    <xf numFmtId="9" fontId="16" fillId="3" borderId="0" xfId="3" applyFont="1" applyFill="1" applyBorder="1" applyAlignment="1">
      <alignment horizontal="center" vertical="center"/>
    </xf>
    <xf numFmtId="169" fontId="35" fillId="12" borderId="0" xfId="1" applyNumberFormat="1" applyFont="1" applyFill="1" applyBorder="1" applyAlignment="1">
      <alignment horizontal="center" vertical="center"/>
    </xf>
    <xf numFmtId="0" fontId="44" fillId="11" borderId="27" xfId="0" applyFont="1" applyFill="1" applyBorder="1" applyAlignment="1">
      <alignment horizontal="left" vertical="center"/>
    </xf>
    <xf numFmtId="166" fontId="16" fillId="0" borderId="0" xfId="0" applyNumberFormat="1" applyFont="1" applyAlignment="1">
      <alignment vertical="center"/>
    </xf>
    <xf numFmtId="0" fontId="14" fillId="0" borderId="13" xfId="0" applyFont="1" applyBorder="1" applyAlignment="1">
      <alignment vertical="center"/>
    </xf>
    <xf numFmtId="0" fontId="14" fillId="0" borderId="23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0" fontId="0" fillId="0" borderId="13" xfId="0" applyBorder="1"/>
    <xf numFmtId="0" fontId="17" fillId="0" borderId="34" xfId="0" applyFont="1" applyBorder="1" applyAlignment="1">
      <alignment vertical="center"/>
    </xf>
    <xf numFmtId="164" fontId="0" fillId="0" borderId="34" xfId="4" applyFont="1" applyFill="1" applyBorder="1"/>
    <xf numFmtId="164" fontId="0" fillId="0" borderId="34" xfId="4" applyFont="1" applyFill="1" applyBorder="1" applyAlignment="1">
      <alignment wrapText="1"/>
    </xf>
    <xf numFmtId="164" fontId="0" fillId="0" borderId="1" xfId="4" applyFont="1" applyFill="1" applyBorder="1" applyAlignment="1">
      <alignment wrapText="1"/>
    </xf>
    <xf numFmtId="0" fontId="17" fillId="0" borderId="1" xfId="0" applyFont="1" applyBorder="1" applyAlignment="1">
      <alignment vertical="center"/>
    </xf>
    <xf numFmtId="2" fontId="26" fillId="4" borderId="0" xfId="0" applyNumberFormat="1" applyFont="1" applyFill="1" applyAlignment="1">
      <alignment horizontal="center" vertical="center"/>
    </xf>
    <xf numFmtId="164" fontId="48" fillId="4" borderId="0" xfId="4" applyFont="1" applyFill="1" applyBorder="1" applyAlignment="1">
      <alignment horizontal="center" vertical="center"/>
    </xf>
    <xf numFmtId="0" fontId="14" fillId="15" borderId="0" xfId="0" applyFont="1" applyFill="1" applyAlignment="1">
      <alignment vertical="center"/>
    </xf>
    <xf numFmtId="0" fontId="22" fillId="4" borderId="0" xfId="0" applyFont="1" applyFill="1" applyAlignment="1">
      <alignment horizontal="center" vertical="center" wrapText="1"/>
    </xf>
    <xf numFmtId="0" fontId="24" fillId="4" borderId="0" xfId="0" applyFont="1" applyFill="1" applyAlignment="1">
      <alignment horizontal="center" vertical="center"/>
    </xf>
    <xf numFmtId="2" fontId="25" fillId="4" borderId="0" xfId="0" applyNumberFormat="1" applyFont="1" applyFill="1" applyAlignment="1">
      <alignment horizontal="center" vertical="center"/>
    </xf>
    <xf numFmtId="1" fontId="48" fillId="4" borderId="0" xfId="0" applyNumberFormat="1" applyFont="1" applyFill="1" applyAlignment="1">
      <alignment horizontal="center" vertical="center"/>
    </xf>
    <xf numFmtId="1" fontId="40" fillId="4" borderId="0" xfId="0" applyNumberFormat="1" applyFont="1" applyFill="1" applyAlignment="1">
      <alignment horizontal="center" vertical="center"/>
    </xf>
    <xf numFmtId="0" fontId="51" fillId="0" borderId="0" xfId="0" applyFont="1" applyAlignment="1">
      <alignment wrapText="1"/>
    </xf>
    <xf numFmtId="164" fontId="60" fillId="0" borderId="34" xfId="4" applyFont="1" applyFill="1" applyBorder="1" applyAlignment="1">
      <alignment vertical="center"/>
    </xf>
    <xf numFmtId="0" fontId="16" fillId="3" borderId="34" xfId="0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30" fillId="3" borderId="0" xfId="0" applyFont="1" applyFill="1" applyAlignment="1">
      <alignment horizontal="left" vertical="center"/>
    </xf>
    <xf numFmtId="0" fontId="16" fillId="3" borderId="23" xfId="0" applyFont="1" applyFill="1" applyBorder="1" applyAlignment="1">
      <alignment horizontal="center" vertical="center"/>
    </xf>
    <xf numFmtId="0" fontId="0" fillId="0" borderId="23" xfId="0" applyBorder="1"/>
    <xf numFmtId="0" fontId="55" fillId="13" borderId="32" xfId="0" applyFont="1" applyFill="1" applyBorder="1" applyAlignment="1">
      <alignment vertical="center"/>
    </xf>
    <xf numFmtId="0" fontId="63" fillId="3" borderId="0" xfId="0" applyFont="1" applyFill="1" applyAlignment="1">
      <alignment vertical="center"/>
    </xf>
    <xf numFmtId="0" fontId="63" fillId="3" borderId="0" xfId="0" applyFont="1" applyFill="1" applyAlignment="1">
      <alignment horizontal="left" vertical="center" wrapText="1"/>
    </xf>
    <xf numFmtId="0" fontId="50" fillId="3" borderId="0" xfId="0" applyFont="1" applyFill="1" applyAlignment="1">
      <alignment horizontal="left" vertical="center" wrapText="1"/>
    </xf>
    <xf numFmtId="0" fontId="62" fillId="3" borderId="0" xfId="0" applyFont="1" applyFill="1" applyAlignment="1">
      <alignment horizontal="left" vertical="center" wrapText="1"/>
    </xf>
    <xf numFmtId="0" fontId="62" fillId="3" borderId="24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vertical="center" wrapText="1"/>
    </xf>
    <xf numFmtId="0" fontId="13" fillId="3" borderId="0" xfId="0" applyFont="1" applyFill="1" applyAlignment="1">
      <alignment horizontal="center" vertical="center" wrapText="1"/>
    </xf>
    <xf numFmtId="0" fontId="17" fillId="0" borderId="35" xfId="0" applyFont="1" applyBorder="1" applyAlignment="1">
      <alignment vertical="center"/>
    </xf>
    <xf numFmtId="0" fontId="0" fillId="0" borderId="50" xfId="0" applyBorder="1" applyAlignment="1">
      <alignment wrapText="1"/>
    </xf>
    <xf numFmtId="0" fontId="0" fillId="0" borderId="50" xfId="0" applyBorder="1"/>
    <xf numFmtId="0" fontId="14" fillId="3" borderId="50" xfId="0" applyFont="1" applyFill="1" applyBorder="1" applyAlignment="1">
      <alignment vertical="center"/>
    </xf>
    <xf numFmtId="0" fontId="14" fillId="0" borderId="50" xfId="0" applyFont="1" applyBorder="1" applyAlignment="1">
      <alignment vertical="center"/>
    </xf>
    <xf numFmtId="0" fontId="14" fillId="0" borderId="51" xfId="0" applyFont="1" applyBorder="1" applyAlignment="1">
      <alignment vertical="center"/>
    </xf>
    <xf numFmtId="0" fontId="66" fillId="0" borderId="49" xfId="0" applyFont="1" applyBorder="1"/>
    <xf numFmtId="0" fontId="55" fillId="13" borderId="28" xfId="0" applyFont="1" applyFill="1" applyBorder="1" applyAlignment="1">
      <alignment vertical="center"/>
    </xf>
    <xf numFmtId="164" fontId="0" fillId="0" borderId="0" xfId="4" applyFont="1" applyFill="1" applyBorder="1"/>
    <xf numFmtId="0" fontId="67" fillId="0" borderId="46" xfId="0" applyFont="1" applyBorder="1" applyAlignment="1">
      <alignment vertical="center"/>
    </xf>
    <xf numFmtId="0" fontId="68" fillId="0" borderId="47" xfId="0" applyFont="1" applyBorder="1" applyAlignment="1">
      <alignment vertical="center"/>
    </xf>
    <xf numFmtId="0" fontId="14" fillId="0" borderId="47" xfId="0" applyFont="1" applyBorder="1" applyAlignment="1">
      <alignment vertical="center"/>
    </xf>
    <xf numFmtId="0" fontId="14" fillId="0" borderId="48" xfId="0" applyFont="1" applyBorder="1" applyAlignment="1">
      <alignment vertical="center"/>
    </xf>
    <xf numFmtId="0" fontId="0" fillId="0" borderId="7" xfId="0" applyBorder="1"/>
    <xf numFmtId="0" fontId="14" fillId="0" borderId="8" xfId="0" applyFont="1" applyBorder="1" applyAlignment="1">
      <alignment vertical="center"/>
    </xf>
    <xf numFmtId="0" fontId="0" fillId="0" borderId="7" xfId="0" applyBorder="1" applyAlignment="1">
      <alignment wrapText="1"/>
    </xf>
    <xf numFmtId="0" fontId="53" fillId="0" borderId="7" xfId="0" applyFont="1" applyBorder="1" applyAlignment="1">
      <alignment wrapText="1"/>
    </xf>
    <xf numFmtId="0" fontId="53" fillId="0" borderId="9" xfId="0" applyFont="1" applyBorder="1" applyAlignment="1">
      <alignment wrapText="1"/>
    </xf>
    <xf numFmtId="164" fontId="0" fillId="0" borderId="10" xfId="4" applyFont="1" applyFill="1" applyBorder="1"/>
    <xf numFmtId="0" fontId="14" fillId="0" borderId="33" xfId="0" applyFont="1" applyBorder="1" applyAlignment="1">
      <alignment vertical="center"/>
    </xf>
    <xf numFmtId="0" fontId="0" fillId="0" borderId="34" xfId="0" applyBorder="1" applyAlignment="1">
      <alignment horizontal="center"/>
    </xf>
    <xf numFmtId="0" fontId="0" fillId="0" borderId="34" xfId="0" applyBorder="1" applyAlignment="1">
      <alignment horizontal="center" wrapText="1"/>
    </xf>
    <xf numFmtId="164" fontId="0" fillId="0" borderId="34" xfId="4" applyFont="1" applyFill="1" applyBorder="1" applyAlignment="1">
      <alignment horizontal="center"/>
    </xf>
    <xf numFmtId="0" fontId="14" fillId="3" borderId="34" xfId="0" applyFont="1" applyFill="1" applyBorder="1" applyAlignment="1">
      <alignment horizontal="center"/>
    </xf>
    <xf numFmtId="0" fontId="14" fillId="0" borderId="34" xfId="0" applyFont="1" applyBorder="1" applyAlignment="1">
      <alignment horizontal="center"/>
    </xf>
    <xf numFmtId="0" fontId="0" fillId="0" borderId="21" xfId="0" applyBorder="1" applyAlignment="1">
      <alignment wrapText="1"/>
    </xf>
    <xf numFmtId="0" fontId="17" fillId="0" borderId="37" xfId="0" applyFont="1" applyBorder="1" applyAlignment="1">
      <alignment vertical="center"/>
    </xf>
    <xf numFmtId="164" fontId="0" fillId="0" borderId="37" xfId="4" applyFont="1" applyFill="1" applyBorder="1"/>
    <xf numFmtId="0" fontId="17" fillId="0" borderId="0" xfId="0" applyFont="1" applyAlignment="1">
      <alignment vertical="center" wrapText="1"/>
    </xf>
    <xf numFmtId="0" fontId="52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64" fontId="0" fillId="0" borderId="0" xfId="4" applyFont="1" applyFill="1" applyBorder="1" applyAlignment="1">
      <alignment horizontal="center"/>
    </xf>
    <xf numFmtId="0" fontId="0" fillId="0" borderId="0" xfId="0" applyAlignment="1">
      <alignment horizontal="center"/>
    </xf>
    <xf numFmtId="0" fontId="14" fillId="3" borderId="0" xfId="0" applyFont="1" applyFill="1" applyAlignment="1">
      <alignment horizontal="center"/>
    </xf>
    <xf numFmtId="0" fontId="54" fillId="0" borderId="0" xfId="0" applyFont="1" applyAlignment="1">
      <alignment horizontal="left" wrapText="1"/>
    </xf>
    <xf numFmtId="0" fontId="14" fillId="0" borderId="0" xfId="0" applyFont="1" applyAlignment="1">
      <alignment horizontal="center"/>
    </xf>
    <xf numFmtId="0" fontId="60" fillId="0" borderId="46" xfId="0" applyFont="1" applyBorder="1" applyAlignment="1">
      <alignment vertical="center"/>
    </xf>
    <xf numFmtId="0" fontId="61" fillId="0" borderId="47" xfId="0" applyFont="1" applyBorder="1" applyAlignment="1">
      <alignment horizontal="center"/>
    </xf>
    <xf numFmtId="164" fontId="61" fillId="0" borderId="47" xfId="4" applyFont="1" applyFill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15" fillId="3" borderId="47" xfId="0" applyFont="1" applyFill="1" applyBorder="1" applyAlignment="1">
      <alignment horizontal="center"/>
    </xf>
    <xf numFmtId="0" fontId="4" fillId="0" borderId="48" xfId="0" applyFont="1" applyBorder="1" applyAlignment="1">
      <alignment horizontal="center"/>
    </xf>
    <xf numFmtId="164" fontId="0" fillId="0" borderId="7" xfId="4" applyFont="1" applyFill="1" applyBorder="1" applyAlignment="1">
      <alignment wrapText="1"/>
    </xf>
    <xf numFmtId="164" fontId="0" fillId="0" borderId="8" xfId="4" applyFont="1" applyFill="1" applyBorder="1" applyAlignment="1">
      <alignment horizontal="center"/>
    </xf>
    <xf numFmtId="0" fontId="54" fillId="0" borderId="7" xfId="0" applyFont="1" applyBorder="1" applyAlignment="1">
      <alignment horizontal="left" wrapText="1"/>
    </xf>
    <xf numFmtId="0" fontId="54" fillId="0" borderId="9" xfId="0" applyFont="1" applyBorder="1" applyAlignment="1">
      <alignment horizontal="left" wrapText="1"/>
    </xf>
    <xf numFmtId="0" fontId="0" fillId="0" borderId="10" xfId="0" applyBorder="1" applyAlignment="1">
      <alignment horizontal="center" wrapText="1"/>
    </xf>
    <xf numFmtId="164" fontId="0" fillId="0" borderId="10" xfId="4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14" fillId="3" borderId="10" xfId="0" applyFont="1" applyFill="1" applyBorder="1" applyAlignment="1">
      <alignment horizontal="center"/>
    </xf>
    <xf numFmtId="164" fontId="0" fillId="0" borderId="33" xfId="4" applyFont="1" applyFill="1" applyBorder="1" applyAlignment="1">
      <alignment horizontal="center"/>
    </xf>
    <xf numFmtId="172" fontId="14" fillId="3" borderId="0" xfId="0" applyNumberFormat="1" applyFont="1" applyFill="1" applyAlignment="1">
      <alignment horizontal="center" vertical="center"/>
    </xf>
    <xf numFmtId="1" fontId="14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55" fillId="13" borderId="29" xfId="0" applyFont="1" applyFill="1" applyBorder="1" applyAlignment="1">
      <alignment vertical="center"/>
    </xf>
    <xf numFmtId="0" fontId="22" fillId="4" borderId="30" xfId="0" applyFont="1" applyFill="1" applyBorder="1" applyAlignment="1">
      <alignment horizontal="center" vertical="center" wrapText="1"/>
    </xf>
    <xf numFmtId="167" fontId="22" fillId="4" borderId="24" xfId="0" applyNumberFormat="1" applyFont="1" applyFill="1" applyBorder="1" applyAlignment="1">
      <alignment horizontal="center" vertical="center" wrapText="1"/>
    </xf>
    <xf numFmtId="167" fontId="22" fillId="4" borderId="31" xfId="0" applyNumberFormat="1" applyFont="1" applyFill="1" applyBorder="1" applyAlignment="1">
      <alignment horizontal="center" vertical="center" wrapText="1"/>
    </xf>
    <xf numFmtId="0" fontId="22" fillId="4" borderId="24" xfId="0" applyFont="1" applyFill="1" applyBorder="1" applyAlignment="1">
      <alignment horizontal="center" vertical="center" wrapText="1"/>
    </xf>
    <xf numFmtId="2" fontId="22" fillId="4" borderId="24" xfId="0" applyNumberFormat="1" applyFont="1" applyFill="1" applyBorder="1" applyAlignment="1">
      <alignment horizontal="center" vertical="center" wrapText="1"/>
    </xf>
    <xf numFmtId="0" fontId="66" fillId="0" borderId="16" xfId="0" applyFont="1" applyBorder="1"/>
    <xf numFmtId="0" fontId="16" fillId="0" borderId="0" xfId="0" applyFont="1" applyAlignment="1">
      <alignment horizontal="center" vertical="center" wrapText="1"/>
    </xf>
    <xf numFmtId="2" fontId="33" fillId="0" borderId="0" xfId="0" applyNumberFormat="1" applyFont="1" applyAlignment="1">
      <alignment horizontal="center" vertical="center"/>
    </xf>
    <xf numFmtId="172" fontId="16" fillId="0" borderId="0" xfId="0" applyNumberFormat="1" applyFont="1" applyAlignment="1">
      <alignment horizontal="center" vertical="center"/>
    </xf>
    <xf numFmtId="167" fontId="16" fillId="0" borderId="0" xfId="0" applyNumberFormat="1" applyFont="1" applyAlignment="1">
      <alignment horizontal="center" vertical="center"/>
    </xf>
    <xf numFmtId="172" fontId="14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vertical="center"/>
    </xf>
    <xf numFmtId="166" fontId="14" fillId="0" borderId="0" xfId="0" applyNumberFormat="1" applyFont="1" applyAlignment="1">
      <alignment vertical="center"/>
    </xf>
    <xf numFmtId="170" fontId="14" fillId="0" borderId="0" xfId="0" applyNumberFormat="1" applyFont="1" applyAlignment="1">
      <alignment vertical="center"/>
    </xf>
    <xf numFmtId="0" fontId="17" fillId="9" borderId="52" xfId="0" applyFont="1" applyFill="1" applyBorder="1" applyAlignment="1">
      <alignment horizontal="left" vertical="center"/>
    </xf>
    <xf numFmtId="0" fontId="17" fillId="9" borderId="6" xfId="0" applyFont="1" applyFill="1" applyBorder="1" applyAlignment="1">
      <alignment horizontal="left" vertical="center"/>
    </xf>
    <xf numFmtId="0" fontId="45" fillId="16" borderId="15" xfId="0" applyFont="1" applyFill="1" applyBorder="1" applyAlignment="1">
      <alignment horizontal="center" vertical="center"/>
    </xf>
    <xf numFmtId="0" fontId="45" fillId="16" borderId="23" xfId="0" applyFont="1" applyFill="1" applyBorder="1" applyAlignment="1">
      <alignment horizontal="center" vertical="center"/>
    </xf>
    <xf numFmtId="0" fontId="45" fillId="16" borderId="23" xfId="0" applyFont="1" applyFill="1" applyBorder="1" applyAlignment="1">
      <alignment horizontal="center" vertical="center" wrapText="1"/>
    </xf>
    <xf numFmtId="0" fontId="45" fillId="16" borderId="22" xfId="0" applyFont="1" applyFill="1" applyBorder="1" applyAlignment="1">
      <alignment horizontal="center" vertical="center" wrapText="1"/>
    </xf>
    <xf numFmtId="0" fontId="45" fillId="16" borderId="12" xfId="0" applyFont="1" applyFill="1" applyBorder="1" applyAlignment="1">
      <alignment horizontal="center" vertical="center" wrapText="1"/>
    </xf>
    <xf numFmtId="0" fontId="14" fillId="3" borderId="35" xfId="0" applyFont="1" applyFill="1" applyBorder="1" applyAlignment="1">
      <alignment vertical="center"/>
    </xf>
    <xf numFmtId="169" fontId="16" fillId="3" borderId="36" xfId="1" applyNumberFormat="1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4" fillId="14" borderId="53" xfId="0" applyFont="1" applyFill="1" applyBorder="1" applyAlignment="1">
      <alignment horizontal="center" vertical="center"/>
    </xf>
    <xf numFmtId="0" fontId="14" fillId="14" borderId="45" xfId="0" applyFont="1" applyFill="1" applyBorder="1" applyAlignment="1">
      <alignment horizontal="center" vertical="center"/>
    </xf>
    <xf numFmtId="0" fontId="14" fillId="14" borderId="45" xfId="0" applyFont="1" applyFill="1" applyBorder="1" applyAlignment="1">
      <alignment horizontal="center" vertical="center" wrapText="1"/>
    </xf>
    <xf numFmtId="0" fontId="14" fillId="14" borderId="45" xfId="0" applyFont="1" applyFill="1" applyBorder="1" applyAlignment="1">
      <alignment vertical="center"/>
    </xf>
    <xf numFmtId="0" fontId="14" fillId="14" borderId="6" xfId="0" applyFont="1" applyFill="1" applyBorder="1" applyAlignment="1">
      <alignment vertical="center"/>
    </xf>
    <xf numFmtId="171" fontId="16" fillId="3" borderId="34" xfId="0" applyNumberFormat="1" applyFont="1" applyFill="1" applyBorder="1" applyAlignment="1">
      <alignment horizontal="center" vertical="center"/>
    </xf>
    <xf numFmtId="0" fontId="14" fillId="15" borderId="34" xfId="0" applyFont="1" applyFill="1" applyBorder="1" applyAlignment="1">
      <alignment vertical="center"/>
    </xf>
    <xf numFmtId="0" fontId="16" fillId="3" borderId="34" xfId="0" applyFont="1" applyFill="1" applyBorder="1" applyAlignment="1">
      <alignment horizontal="center" vertical="center" wrapText="1"/>
    </xf>
    <xf numFmtId="2" fontId="33" fillId="6" borderId="34" xfId="0" applyNumberFormat="1" applyFont="1" applyFill="1" applyBorder="1" applyAlignment="1">
      <alignment horizontal="center" vertical="center"/>
    </xf>
    <xf numFmtId="172" fontId="19" fillId="7" borderId="34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0" borderId="35" xfId="0" applyBorder="1" applyAlignment="1">
      <alignment wrapText="1"/>
    </xf>
    <xf numFmtId="0" fontId="44" fillId="11" borderId="28" xfId="0" applyFont="1" applyFill="1" applyBorder="1" applyAlignment="1">
      <alignment horizontal="center" vertical="center"/>
    </xf>
    <xf numFmtId="174" fontId="34" fillId="0" borderId="27" xfId="0" applyNumberFormat="1" applyFont="1" applyBorder="1" applyAlignment="1">
      <alignment horizontal="center" vertical="center"/>
    </xf>
    <xf numFmtId="0" fontId="71" fillId="20" borderId="0" xfId="0" applyFont="1" applyFill="1" applyAlignment="1">
      <alignment horizontal="center" vertical="center" wrapText="1"/>
    </xf>
    <xf numFmtId="0" fontId="69" fillId="21" borderId="47" xfId="0" applyFont="1" applyFill="1" applyBorder="1"/>
    <xf numFmtId="0" fontId="69" fillId="21" borderId="34" xfId="0" applyFont="1" applyFill="1" applyBorder="1"/>
    <xf numFmtId="0" fontId="69" fillId="21" borderId="10" xfId="0" applyFont="1" applyFill="1" applyBorder="1"/>
    <xf numFmtId="0" fontId="16" fillId="18" borderId="34" xfId="0" applyFont="1" applyFill="1" applyBorder="1" applyAlignment="1">
      <alignment horizontal="center" vertical="center"/>
    </xf>
    <xf numFmtId="1" fontId="16" fillId="18" borderId="34" xfId="0" applyNumberFormat="1" applyFont="1" applyFill="1" applyBorder="1" applyAlignment="1">
      <alignment horizontal="center" vertical="center"/>
    </xf>
    <xf numFmtId="172" fontId="14" fillId="18" borderId="34" xfId="0" applyNumberFormat="1" applyFont="1" applyFill="1" applyBorder="1" applyAlignment="1">
      <alignment horizontal="center" vertical="center"/>
    </xf>
    <xf numFmtId="0" fontId="14" fillId="18" borderId="34" xfId="0" applyFont="1" applyFill="1" applyBorder="1" applyAlignment="1">
      <alignment horizontal="center" vertical="center"/>
    </xf>
    <xf numFmtId="167" fontId="16" fillId="18" borderId="34" xfId="0" applyNumberFormat="1" applyFont="1" applyFill="1" applyBorder="1" applyAlignment="1">
      <alignment horizontal="center" vertical="center"/>
    </xf>
    <xf numFmtId="0" fontId="69" fillId="0" borderId="30" xfId="0" applyFont="1" applyBorder="1" applyAlignment="1">
      <alignment horizontal="center" vertical="center"/>
    </xf>
    <xf numFmtId="0" fontId="69" fillId="21" borderId="55" xfId="0" applyFont="1" applyFill="1" applyBorder="1"/>
    <xf numFmtId="0" fontId="51" fillId="0" borderId="47" xfId="0" applyFont="1" applyBorder="1" applyAlignment="1">
      <alignment wrapText="1"/>
    </xf>
    <xf numFmtId="172" fontId="1" fillId="0" borderId="47" xfId="0" applyNumberFormat="1" applyFont="1" applyBorder="1" applyAlignment="1">
      <alignment horizontal="center"/>
    </xf>
    <xf numFmtId="172" fontId="1" fillId="0" borderId="48" xfId="0" applyNumberFormat="1" applyFont="1" applyBorder="1" applyAlignment="1">
      <alignment horizontal="center"/>
    </xf>
    <xf numFmtId="0" fontId="69" fillId="21" borderId="35" xfId="0" applyFont="1" applyFill="1" applyBorder="1"/>
    <xf numFmtId="0" fontId="51" fillId="0" borderId="34" xfId="0" applyFont="1" applyBorder="1" applyAlignment="1">
      <alignment wrapText="1"/>
    </xf>
    <xf numFmtId="1" fontId="1" fillId="0" borderId="34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69" fillId="0" borderId="4" xfId="0" applyFont="1" applyBorder="1" applyAlignment="1">
      <alignment horizontal="center" vertical="center"/>
    </xf>
    <xf numFmtId="0" fontId="69" fillId="21" borderId="56" xfId="0" applyFont="1" applyFill="1" applyBorder="1"/>
    <xf numFmtId="0" fontId="51" fillId="0" borderId="10" xfId="0" applyFont="1" applyBorder="1" applyAlignment="1">
      <alignment wrapText="1"/>
    </xf>
    <xf numFmtId="0" fontId="1" fillId="0" borderId="10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5" fillId="3" borderId="0" xfId="0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39" fillId="10" borderId="21" xfId="0" applyFont="1" applyFill="1" applyBorder="1" applyAlignment="1">
      <alignment horizontal="left" vertical="center"/>
    </xf>
    <xf numFmtId="0" fontId="39" fillId="10" borderId="38" xfId="0" applyFont="1" applyFill="1" applyBorder="1" applyAlignment="1">
      <alignment horizontal="left" vertical="center"/>
    </xf>
    <xf numFmtId="0" fontId="39" fillId="10" borderId="39" xfId="0" applyFont="1" applyFill="1" applyBorder="1" applyAlignment="1">
      <alignment horizontal="left" vertical="center"/>
    </xf>
    <xf numFmtId="1" fontId="16" fillId="3" borderId="36" xfId="0" applyNumberFormat="1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72" fillId="0" borderId="0" xfId="0" applyFont="1"/>
    <xf numFmtId="0" fontId="72" fillId="0" borderId="0" xfId="0" applyFont="1" applyAlignment="1">
      <alignment horizontal="center" vertical="center"/>
    </xf>
    <xf numFmtId="1" fontId="65" fillId="22" borderId="27" xfId="0" applyNumberFormat="1" applyFont="1" applyFill="1" applyBorder="1" applyAlignment="1">
      <alignment horizontal="center" vertical="center" wrapText="1"/>
    </xf>
    <xf numFmtId="0" fontId="39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43" fillId="4" borderId="35" xfId="0" applyFont="1" applyFill="1" applyBorder="1" applyAlignment="1">
      <alignment horizontal="center" vertical="center" wrapText="1"/>
    </xf>
    <xf numFmtId="0" fontId="43" fillId="4" borderId="34" xfId="0" applyFont="1" applyFill="1" applyBorder="1" applyAlignment="1">
      <alignment horizontal="center" vertical="center" wrapText="1"/>
    </xf>
    <xf numFmtId="167" fontId="7" fillId="0" borderId="34" xfId="0" applyNumberFormat="1" applyFont="1" applyBorder="1" applyAlignment="1">
      <alignment horizontal="center"/>
    </xf>
    <xf numFmtId="167" fontId="7" fillId="0" borderId="15" xfId="0" applyNumberFormat="1" applyFont="1" applyBorder="1" applyAlignment="1">
      <alignment horizontal="center"/>
    </xf>
    <xf numFmtId="175" fontId="37" fillId="0" borderId="34" xfId="0" applyNumberFormat="1" applyFont="1" applyBorder="1"/>
    <xf numFmtId="167" fontId="41" fillId="17" borderId="34" xfId="0" applyNumberFormat="1" applyFont="1" applyFill="1" applyBorder="1" applyAlignment="1">
      <alignment horizontal="center" wrapText="1"/>
    </xf>
    <xf numFmtId="167" fontId="41" fillId="17" borderId="36" xfId="0" applyNumberFormat="1" applyFont="1" applyFill="1" applyBorder="1" applyAlignment="1">
      <alignment horizontal="center" wrapText="1"/>
    </xf>
    <xf numFmtId="0" fontId="73" fillId="4" borderId="24" xfId="0" applyFont="1" applyFill="1" applyBorder="1" applyAlignment="1">
      <alignment horizontal="center" vertical="center" wrapText="1"/>
    </xf>
    <xf numFmtId="167" fontId="16" fillId="3" borderId="35" xfId="0" applyNumberFormat="1" applyFont="1" applyFill="1" applyBorder="1" applyAlignment="1">
      <alignment horizontal="center" vertical="center"/>
    </xf>
    <xf numFmtId="167" fontId="16" fillId="3" borderId="34" xfId="0" applyNumberFormat="1" applyFont="1" applyFill="1" applyBorder="1" applyAlignment="1">
      <alignment horizontal="center" vertical="center"/>
    </xf>
    <xf numFmtId="167" fontId="43" fillId="4" borderId="34" xfId="0" applyNumberFormat="1" applyFont="1" applyFill="1" applyBorder="1" applyAlignment="1">
      <alignment horizontal="center" vertical="center" wrapText="1"/>
    </xf>
    <xf numFmtId="167" fontId="7" fillId="4" borderId="34" xfId="0" applyNumberFormat="1" applyFont="1" applyFill="1" applyBorder="1" applyAlignment="1">
      <alignment horizontal="center" vertical="center" wrapText="1"/>
    </xf>
    <xf numFmtId="0" fontId="74" fillId="3" borderId="0" xfId="0" applyFont="1" applyFill="1" applyAlignment="1">
      <alignment vertical="center"/>
    </xf>
    <xf numFmtId="0" fontId="0" fillId="3" borderId="0" xfId="0" applyFill="1"/>
    <xf numFmtId="0" fontId="0" fillId="3" borderId="0" xfId="0" applyFill="1" applyAlignment="1">
      <alignment horizontal="right"/>
    </xf>
    <xf numFmtId="0" fontId="3" fillId="23" borderId="0" xfId="0" applyFont="1" applyFill="1"/>
    <xf numFmtId="0" fontId="14" fillId="0" borderId="34" xfId="0" applyFont="1" applyBorder="1" applyAlignment="1">
      <alignment vertical="center" wrapText="1"/>
    </xf>
    <xf numFmtId="0" fontId="0" fillId="0" borderId="22" xfId="0" applyBorder="1" applyAlignment="1">
      <alignment wrapText="1"/>
    </xf>
    <xf numFmtId="0" fontId="0" fillId="0" borderId="36" xfId="0" applyBorder="1"/>
    <xf numFmtId="0" fontId="0" fillId="0" borderId="36" xfId="0" applyBorder="1" applyAlignment="1">
      <alignment wrapText="1"/>
    </xf>
    <xf numFmtId="164" fontId="0" fillId="0" borderId="36" xfId="4" applyFont="1" applyFill="1" applyBorder="1" applyAlignment="1">
      <alignment wrapText="1"/>
    </xf>
    <xf numFmtId="0" fontId="14" fillId="0" borderId="36" xfId="0" applyFont="1" applyBorder="1" applyAlignment="1">
      <alignment vertical="center" wrapText="1"/>
    </xf>
    <xf numFmtId="0" fontId="0" fillId="0" borderId="60" xfId="0" applyBorder="1" applyAlignment="1">
      <alignment wrapText="1"/>
    </xf>
    <xf numFmtId="0" fontId="0" fillId="0" borderId="60" xfId="0" applyBorder="1"/>
    <xf numFmtId="164" fontId="0" fillId="0" borderId="0" xfId="4" applyFont="1" applyFill="1" applyBorder="1" applyAlignment="1">
      <alignment wrapText="1"/>
    </xf>
    <xf numFmtId="0" fontId="3" fillId="23" borderId="34" xfId="0" applyFont="1" applyFill="1" applyBorder="1"/>
    <xf numFmtId="0" fontId="0" fillId="3" borderId="34" xfId="0" applyFill="1" applyBorder="1"/>
    <xf numFmtId="0" fontId="0" fillId="24" borderId="35" xfId="0" applyFill="1" applyBorder="1"/>
    <xf numFmtId="0" fontId="0" fillId="24" borderId="34" xfId="0" applyFill="1" applyBorder="1"/>
    <xf numFmtId="164" fontId="0" fillId="24" borderId="34" xfId="4" applyFont="1" applyFill="1" applyBorder="1"/>
    <xf numFmtId="0" fontId="0" fillId="25" borderId="35" xfId="0" applyFill="1" applyBorder="1"/>
    <xf numFmtId="0" fontId="0" fillId="25" borderId="34" xfId="0" applyFill="1" applyBorder="1"/>
    <xf numFmtId="164" fontId="0" fillId="25" borderId="34" xfId="4" applyFont="1" applyFill="1" applyBorder="1"/>
    <xf numFmtId="0" fontId="0" fillId="24" borderId="35" xfId="0" applyFill="1" applyBorder="1" applyAlignment="1">
      <alignment wrapText="1"/>
    </xf>
    <xf numFmtId="0" fontId="0" fillId="24" borderId="34" xfId="0" applyFill="1" applyBorder="1" applyAlignment="1">
      <alignment wrapText="1"/>
    </xf>
    <xf numFmtId="164" fontId="0" fillId="24" borderId="34" xfId="4" applyFont="1" applyFill="1" applyBorder="1" applyAlignment="1">
      <alignment wrapText="1"/>
    </xf>
    <xf numFmtId="0" fontId="0" fillId="24" borderId="59" xfId="0" applyFill="1" applyBorder="1"/>
    <xf numFmtId="0" fontId="14" fillId="24" borderId="13" xfId="0" applyFont="1" applyFill="1" applyBorder="1" applyAlignment="1">
      <alignment vertical="center"/>
    </xf>
    <xf numFmtId="164" fontId="0" fillId="24" borderId="13" xfId="4" applyFont="1" applyFill="1" applyBorder="1" applyAlignment="1">
      <alignment vertical="center"/>
    </xf>
    <xf numFmtId="0" fontId="3" fillId="23" borderId="4" xfId="0" applyFont="1" applyFill="1" applyBorder="1" applyAlignment="1">
      <alignment horizontal="left" vertical="center" wrapText="1"/>
    </xf>
    <xf numFmtId="0" fontId="3" fillId="23" borderId="28" xfId="0" applyFont="1" applyFill="1" applyBorder="1" applyAlignment="1">
      <alignment horizontal="left" vertical="center" wrapText="1"/>
    </xf>
    <xf numFmtId="0" fontId="3" fillId="26" borderId="0" xfId="0" applyFont="1" applyFill="1"/>
    <xf numFmtId="169" fontId="14" fillId="0" borderId="34" xfId="1" applyNumberFormat="1" applyFont="1" applyBorder="1" applyAlignment="1">
      <alignment vertical="center"/>
    </xf>
    <xf numFmtId="169" fontId="0" fillId="0" borderId="34" xfId="1" applyNumberFormat="1" applyFont="1" applyBorder="1"/>
    <xf numFmtId="169" fontId="0" fillId="0" borderId="34" xfId="1" applyNumberFormat="1" applyFont="1" applyFill="1" applyBorder="1"/>
    <xf numFmtId="169" fontId="0" fillId="0" borderId="34" xfId="1" applyNumberFormat="1" applyFont="1" applyFill="1" applyBorder="1" applyAlignment="1">
      <alignment wrapText="1"/>
    </xf>
    <xf numFmtId="0" fontId="75" fillId="3" borderId="0" xfId="0" applyFont="1" applyFill="1"/>
    <xf numFmtId="0" fontId="0" fillId="3" borderId="0" xfId="0" applyFill="1" applyAlignment="1">
      <alignment wrapText="1"/>
    </xf>
    <xf numFmtId="0" fontId="0" fillId="3" borderId="62" xfId="0" applyFill="1" applyBorder="1" applyAlignment="1">
      <alignment horizontal="center" vertical="center"/>
    </xf>
    <xf numFmtId="0" fontId="0" fillId="3" borderId="62" xfId="0" applyFill="1" applyBorder="1" applyAlignment="1">
      <alignment vertical="center"/>
    </xf>
    <xf numFmtId="2" fontId="0" fillId="3" borderId="62" xfId="0" applyNumberFormat="1" applyFill="1" applyBorder="1" applyAlignment="1">
      <alignment vertical="center"/>
    </xf>
    <xf numFmtId="169" fontId="0" fillId="3" borderId="62" xfId="1" applyNumberFormat="1" applyFont="1" applyFill="1" applyBorder="1" applyAlignment="1">
      <alignment vertical="center"/>
    </xf>
    <xf numFmtId="0" fontId="0" fillId="3" borderId="61" xfId="0" applyFill="1" applyBorder="1" applyAlignment="1">
      <alignment vertical="center"/>
    </xf>
    <xf numFmtId="2" fontId="0" fillId="3" borderId="61" xfId="0" applyNumberFormat="1" applyFill="1" applyBorder="1" applyAlignment="1">
      <alignment vertical="center"/>
    </xf>
    <xf numFmtId="169" fontId="0" fillId="3" borderId="66" xfId="1" applyNumberFormat="1" applyFont="1" applyFill="1" applyBorder="1" applyAlignment="1">
      <alignment vertical="center"/>
    </xf>
    <xf numFmtId="169" fontId="0" fillId="3" borderId="67" xfId="1" applyNumberFormat="1" applyFont="1" applyFill="1" applyBorder="1" applyAlignment="1">
      <alignment vertical="center"/>
    </xf>
    <xf numFmtId="167" fontId="78" fillId="3" borderId="35" xfId="0" applyNumberFormat="1" applyFont="1" applyFill="1" applyBorder="1" applyAlignment="1">
      <alignment horizontal="center" vertical="center"/>
    </xf>
    <xf numFmtId="2" fontId="0" fillId="3" borderId="0" xfId="0" applyNumberFormat="1" applyFill="1" applyAlignment="1">
      <alignment vertical="center"/>
    </xf>
    <xf numFmtId="169" fontId="0" fillId="3" borderId="61" xfId="1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174" fontId="83" fillId="0" borderId="52" xfId="0" applyNumberFormat="1" applyFont="1" applyBorder="1" applyAlignment="1">
      <alignment horizontal="center" vertical="center"/>
    </xf>
    <xf numFmtId="168" fontId="84" fillId="0" borderId="5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14" fillId="4" borderId="34" xfId="0" applyFont="1" applyFill="1" applyBorder="1" applyAlignment="1">
      <alignment vertical="center"/>
    </xf>
    <xf numFmtId="0" fontId="25" fillId="4" borderId="0" xfId="0" applyFont="1" applyFill="1" applyAlignment="1">
      <alignment horizontal="center" vertical="center"/>
    </xf>
    <xf numFmtId="0" fontId="87" fillId="4" borderId="34" xfId="0" applyFont="1" applyFill="1" applyBorder="1" applyAlignment="1">
      <alignment horizontal="center"/>
    </xf>
    <xf numFmtId="0" fontId="0" fillId="0" borderId="29" xfId="0" applyBorder="1"/>
    <xf numFmtId="0" fontId="24" fillId="4" borderId="28" xfId="0" applyFont="1" applyFill="1" applyBorder="1" applyAlignment="1">
      <alignment horizontal="center"/>
    </xf>
    <xf numFmtId="0" fontId="88" fillId="0" borderId="29" xfId="0" applyFont="1" applyBorder="1"/>
    <xf numFmtId="2" fontId="25" fillId="4" borderId="3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90" fillId="0" borderId="0" xfId="0" applyNumberFormat="1" applyFont="1" applyAlignment="1">
      <alignment horizontal="center" vertical="center"/>
    </xf>
    <xf numFmtId="0" fontId="93" fillId="0" borderId="0" xfId="0" applyFont="1" applyAlignment="1">
      <alignment wrapText="1"/>
    </xf>
    <xf numFmtId="0" fontId="94" fillId="28" borderId="0" xfId="0" applyFont="1" applyFill="1" applyAlignment="1">
      <alignment horizontal="center" vertical="center" wrapText="1"/>
    </xf>
    <xf numFmtId="164" fontId="0" fillId="0" borderId="34" xfId="4" applyFont="1" applyFill="1" applyBorder="1" applyAlignment="1">
      <alignment horizontal="center" wrapText="1"/>
    </xf>
    <xf numFmtId="0" fontId="95" fillId="3" borderId="34" xfId="0" applyFont="1" applyFill="1" applyBorder="1" applyAlignment="1">
      <alignment horizontal="left" vertical="center" wrapText="1"/>
    </xf>
    <xf numFmtId="169" fontId="35" fillId="12" borderId="0" xfId="1" applyNumberFormat="1" applyFont="1" applyFill="1" applyAlignment="1">
      <alignment horizontal="center" vertical="center"/>
    </xf>
    <xf numFmtId="169" fontId="35" fillId="21" borderId="4" xfId="1" applyNumberFormat="1" applyFont="1" applyFill="1" applyBorder="1" applyAlignment="1">
      <alignment horizontal="center" vertical="center"/>
    </xf>
    <xf numFmtId="169" fontId="35" fillId="21" borderId="6" xfId="1" applyNumberFormat="1" applyFont="1" applyFill="1" applyBorder="1" applyAlignment="1">
      <alignment horizontal="center" vertical="center"/>
    </xf>
    <xf numFmtId="169" fontId="35" fillId="21" borderId="42" xfId="1" applyNumberFormat="1" applyFont="1" applyFill="1" applyBorder="1" applyAlignment="1">
      <alignment horizontal="center" vertical="center"/>
    </xf>
    <xf numFmtId="169" fontId="35" fillId="21" borderId="54" xfId="1" applyNumberFormat="1" applyFont="1" applyFill="1" applyBorder="1" applyAlignment="1">
      <alignment horizontal="center" vertical="center"/>
    </xf>
    <xf numFmtId="169" fontId="35" fillId="21" borderId="30" xfId="1" applyNumberFormat="1" applyFont="1" applyFill="1" applyBorder="1" applyAlignment="1">
      <alignment horizontal="center" vertical="center"/>
    </xf>
    <xf numFmtId="169" fontId="35" fillId="21" borderId="31" xfId="1" applyNumberFormat="1" applyFont="1" applyFill="1" applyBorder="1" applyAlignment="1">
      <alignment horizontal="center" vertical="center"/>
    </xf>
    <xf numFmtId="0" fontId="44" fillId="11" borderId="28" xfId="0" applyFont="1" applyFill="1" applyBorder="1" applyAlignment="1">
      <alignment horizontal="left" vertical="center" wrapText="1"/>
    </xf>
    <xf numFmtId="14" fontId="58" fillId="3" borderId="0" xfId="0" applyNumberFormat="1" applyFont="1" applyFill="1" applyAlignment="1">
      <alignment horizontal="center"/>
    </xf>
    <xf numFmtId="174" fontId="34" fillId="0" borderId="0" xfId="0" applyNumberFormat="1" applyFont="1" applyAlignment="1">
      <alignment vertical="center"/>
    </xf>
    <xf numFmtId="2" fontId="0" fillId="3" borderId="0" xfId="0" applyNumberFormat="1" applyFill="1"/>
    <xf numFmtId="0" fontId="0" fillId="0" borderId="39" xfId="0" applyBorder="1"/>
    <xf numFmtId="0" fontId="0" fillId="0" borderId="20" xfId="0" applyBorder="1" applyAlignment="1">
      <alignment wrapText="1"/>
    </xf>
    <xf numFmtId="1" fontId="67" fillId="3" borderId="0" xfId="0" applyNumberFormat="1" applyFont="1" applyFill="1" applyAlignment="1">
      <alignment horizontal="center" vertical="center"/>
    </xf>
    <xf numFmtId="2" fontId="67" fillId="3" borderId="0" xfId="0" applyNumberFormat="1" applyFont="1" applyFill="1" applyAlignment="1">
      <alignment horizontal="center" vertical="center"/>
    </xf>
    <xf numFmtId="0" fontId="87" fillId="4" borderId="0" xfId="0" applyFont="1" applyFill="1" applyAlignment="1">
      <alignment horizontal="center"/>
    </xf>
    <xf numFmtId="2" fontId="25" fillId="4" borderId="12" xfId="0" applyNumberFormat="1" applyFont="1" applyFill="1" applyBorder="1" applyAlignment="1">
      <alignment horizontal="center" vertical="center"/>
    </xf>
    <xf numFmtId="1" fontId="26" fillId="3" borderId="0" xfId="0" applyNumberFormat="1" applyFont="1" applyFill="1" applyAlignment="1">
      <alignment horizontal="center" vertical="center" wrapText="1"/>
    </xf>
    <xf numFmtId="167" fontId="26" fillId="3" borderId="0" xfId="0" applyNumberFormat="1" applyFont="1" applyFill="1" applyAlignment="1">
      <alignment horizontal="center"/>
    </xf>
    <xf numFmtId="167" fontId="70" fillId="3" borderId="0" xfId="0" applyNumberFormat="1" applyFont="1" applyFill="1"/>
    <xf numFmtId="175" fontId="25" fillId="3" borderId="0" xfId="0" applyNumberFormat="1" applyFont="1" applyFill="1"/>
    <xf numFmtId="167" fontId="51" fillId="3" borderId="0" xfId="0" applyNumberFormat="1" applyFont="1" applyFill="1" applyAlignment="1">
      <alignment horizontal="center" wrapText="1"/>
    </xf>
    <xf numFmtId="0" fontId="25" fillId="3" borderId="0" xfId="0" applyFont="1" applyFill="1"/>
    <xf numFmtId="1" fontId="22" fillId="3" borderId="0" xfId="0" applyNumberFormat="1" applyFont="1" applyFill="1" applyAlignment="1">
      <alignment horizontal="center" vertical="center" wrapText="1"/>
    </xf>
    <xf numFmtId="167" fontId="2" fillId="3" borderId="0" xfId="0" applyNumberFormat="1" applyFont="1" applyFill="1" applyAlignment="1">
      <alignment horizontal="center" wrapText="1"/>
    </xf>
    <xf numFmtId="0" fontId="57" fillId="3" borderId="0" xfId="0" applyFont="1" applyFill="1" applyAlignment="1">
      <alignment horizontal="center" vertical="center"/>
    </xf>
    <xf numFmtId="175" fontId="51" fillId="3" borderId="0" xfId="0" applyNumberFormat="1" applyFont="1" applyFill="1" applyAlignment="1">
      <alignment horizontal="center" vertical="center"/>
    </xf>
    <xf numFmtId="1" fontId="49" fillId="3" borderId="0" xfId="0" applyNumberFormat="1" applyFont="1" applyFill="1" applyAlignment="1">
      <alignment horizontal="center" vertical="center"/>
    </xf>
    <xf numFmtId="1" fontId="47" fillId="3" borderId="0" xfId="0" applyNumberFormat="1" applyFont="1" applyFill="1" applyAlignment="1">
      <alignment horizontal="center" vertical="center"/>
    </xf>
    <xf numFmtId="2" fontId="25" fillId="3" borderId="0" xfId="0" applyNumberFormat="1" applyFont="1" applyFill="1" applyAlignment="1">
      <alignment horizontal="center" vertical="center"/>
    </xf>
    <xf numFmtId="2" fontId="26" fillId="3" borderId="0" xfId="0" applyNumberFormat="1" applyFont="1" applyFill="1" applyAlignment="1">
      <alignment horizontal="center" vertical="center"/>
    </xf>
    <xf numFmtId="0" fontId="24" fillId="3" borderId="0" xfId="0" applyFont="1" applyFill="1" applyAlignment="1">
      <alignment vertical="center"/>
    </xf>
    <xf numFmtId="0" fontId="0" fillId="3" borderId="0" xfId="0" applyFill="1" applyAlignment="1">
      <alignment horizontal="left" vertical="center" wrapText="1"/>
    </xf>
    <xf numFmtId="0" fontId="0" fillId="3" borderId="42" xfId="0" applyFill="1" applyBorder="1" applyAlignment="1">
      <alignment vertical="center"/>
    </xf>
    <xf numFmtId="174" fontId="34" fillId="3" borderId="0" xfId="0" applyNumberFormat="1" applyFont="1" applyFill="1" applyAlignment="1">
      <alignment vertical="center"/>
    </xf>
    <xf numFmtId="0" fontId="0" fillId="3" borderId="0" xfId="0" applyFill="1" applyAlignment="1">
      <alignment horizontal="center"/>
    </xf>
    <xf numFmtId="0" fontId="17" fillId="3" borderId="34" xfId="0" applyFont="1" applyFill="1" applyBorder="1" applyAlignment="1">
      <alignment vertical="center"/>
    </xf>
    <xf numFmtId="0" fontId="0" fillId="3" borderId="34" xfId="0" applyFill="1" applyBorder="1" applyAlignment="1">
      <alignment wrapText="1"/>
    </xf>
    <xf numFmtId="0" fontId="0" fillId="3" borderId="23" xfId="0" applyFill="1" applyBorder="1"/>
    <xf numFmtId="0" fontId="59" fillId="3" borderId="0" xfId="0" applyFont="1" applyFill="1" applyAlignment="1">
      <alignment horizontal="left" wrapText="1"/>
    </xf>
    <xf numFmtId="0" fontId="43" fillId="4" borderId="0" xfId="0" applyFont="1" applyFill="1" applyAlignment="1">
      <alignment vertical="center"/>
    </xf>
    <xf numFmtId="0" fontId="43" fillId="4" borderId="42" xfId="0" applyFont="1" applyFill="1" applyBorder="1" applyAlignment="1">
      <alignment vertical="center"/>
    </xf>
    <xf numFmtId="0" fontId="0" fillId="3" borderId="16" xfId="0" applyFill="1" applyBorder="1"/>
    <xf numFmtId="0" fontId="0" fillId="3" borderId="0" xfId="0" applyFill="1" applyAlignment="1">
      <alignment horizontal="center" vertical="center" wrapText="1"/>
    </xf>
    <xf numFmtId="2" fontId="90" fillId="3" borderId="0" xfId="0" applyNumberFormat="1" applyFont="1" applyFill="1" applyAlignment="1">
      <alignment horizontal="center" vertical="center"/>
    </xf>
    <xf numFmtId="1" fontId="48" fillId="3" borderId="29" xfId="0" applyNumberFormat="1" applyFont="1" applyFill="1" applyBorder="1" applyAlignment="1">
      <alignment horizontal="center" vertical="center"/>
    </xf>
    <xf numFmtId="1" fontId="42" fillId="3" borderId="0" xfId="0" applyNumberFormat="1" applyFont="1" applyFill="1" applyAlignment="1">
      <alignment vertical="center"/>
    </xf>
    <xf numFmtId="0" fontId="37" fillId="0" borderId="34" xfId="0" applyFont="1" applyBorder="1" applyAlignment="1">
      <alignment wrapText="1"/>
    </xf>
    <xf numFmtId="1" fontId="49" fillId="4" borderId="0" xfId="0" applyNumberFormat="1" applyFont="1" applyFill="1" applyAlignment="1">
      <alignment horizontal="center" vertical="center"/>
    </xf>
    <xf numFmtId="0" fontId="22" fillId="4" borderId="20" xfId="0" applyFont="1" applyFill="1" applyBorder="1" applyAlignment="1">
      <alignment horizontal="center" vertical="center" wrapText="1"/>
    </xf>
    <xf numFmtId="0" fontId="22" fillId="4" borderId="22" xfId="0" applyFont="1" applyFill="1" applyBorder="1" applyAlignment="1">
      <alignment horizontal="center" vertical="center" wrapText="1"/>
    </xf>
    <xf numFmtId="167" fontId="22" fillId="4" borderId="22" xfId="0" applyNumberFormat="1" applyFont="1" applyFill="1" applyBorder="1" applyAlignment="1">
      <alignment horizontal="center" vertical="center" wrapText="1"/>
    </xf>
    <xf numFmtId="1" fontId="22" fillId="4" borderId="22" xfId="0" applyNumberFormat="1" applyFont="1" applyFill="1" applyBorder="1" applyAlignment="1">
      <alignment horizontal="center" vertical="center" wrapText="1"/>
    </xf>
    <xf numFmtId="0" fontId="86" fillId="27" borderId="41" xfId="0" applyFont="1" applyFill="1" applyBorder="1" applyAlignment="1">
      <alignment horizontal="center" vertical="center"/>
    </xf>
    <xf numFmtId="0" fontId="86" fillId="27" borderId="71" xfId="0" applyFont="1" applyFill="1" applyBorder="1" applyAlignment="1">
      <alignment horizontal="center" vertical="center"/>
    </xf>
    <xf numFmtId="0" fontId="86" fillId="27" borderId="72" xfId="0" applyFont="1" applyFill="1" applyBorder="1" applyAlignment="1">
      <alignment horizontal="center" vertical="center"/>
    </xf>
    <xf numFmtId="169" fontId="0" fillId="3" borderId="0" xfId="1" applyNumberFormat="1" applyFont="1" applyFill="1" applyBorder="1" applyAlignment="1">
      <alignment vertical="center"/>
    </xf>
    <xf numFmtId="0" fontId="0" fillId="3" borderId="24" xfId="0" applyFill="1" applyBorder="1" applyAlignment="1">
      <alignment horizontal="center" vertical="center" wrapText="1"/>
    </xf>
    <xf numFmtId="0" fontId="3" fillId="23" borderId="0" xfId="0" applyFont="1" applyFill="1" applyAlignment="1">
      <alignment horizontal="center" vertical="center"/>
    </xf>
    <xf numFmtId="0" fontId="0" fillId="3" borderId="24" xfId="0" applyFill="1" applyBorder="1"/>
    <xf numFmtId="0" fontId="76" fillId="3" borderId="0" xfId="0" applyFont="1" applyFill="1" applyAlignment="1">
      <alignment vertical="top"/>
    </xf>
    <xf numFmtId="2" fontId="76" fillId="3" borderId="0" xfId="0" applyNumberFormat="1" applyFont="1" applyFill="1" applyAlignment="1">
      <alignment vertical="top"/>
    </xf>
    <xf numFmtId="0" fontId="0" fillId="3" borderId="73" xfId="0" applyFill="1" applyBorder="1" applyAlignment="1">
      <alignment horizontal="center" vertical="center" wrapText="1"/>
    </xf>
    <xf numFmtId="0" fontId="4" fillId="3" borderId="65" xfId="0" applyFont="1" applyFill="1" applyBorder="1" applyAlignment="1">
      <alignment horizontal="center" wrapText="1"/>
    </xf>
    <xf numFmtId="0" fontId="4" fillId="3" borderId="74" xfId="0" applyFont="1" applyFill="1" applyBorder="1" applyAlignment="1">
      <alignment horizontal="center"/>
    </xf>
    <xf numFmtId="0" fontId="4" fillId="3" borderId="75" xfId="0" applyFont="1" applyFill="1" applyBorder="1" applyAlignment="1">
      <alignment horizontal="center"/>
    </xf>
    <xf numFmtId="0" fontId="0" fillId="3" borderId="76" xfId="0" applyFill="1" applyBorder="1" applyAlignment="1">
      <alignment vertical="center"/>
    </xf>
    <xf numFmtId="2" fontId="0" fillId="3" borderId="76" xfId="0" applyNumberFormat="1" applyFill="1" applyBorder="1" applyAlignment="1">
      <alignment vertical="center"/>
    </xf>
    <xf numFmtId="0" fontId="0" fillId="3" borderId="76" xfId="0" applyFill="1" applyBorder="1" applyAlignment="1">
      <alignment horizontal="center" vertical="center" wrapText="1"/>
    </xf>
    <xf numFmtId="0" fontId="86" fillId="27" borderId="79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vertical="center"/>
    </xf>
    <xf numFmtId="166" fontId="14" fillId="4" borderId="27" xfId="0" applyNumberFormat="1" applyFont="1" applyFill="1" applyBorder="1" applyAlignment="1">
      <alignment vertical="center"/>
    </xf>
    <xf numFmtId="170" fontId="14" fillId="4" borderId="27" xfId="0" applyNumberFormat="1" applyFont="1" applyFill="1" applyBorder="1" applyAlignment="1">
      <alignment vertical="center"/>
    </xf>
    <xf numFmtId="173" fontId="0" fillId="0" borderId="27" xfId="0" applyNumberFormat="1" applyBorder="1"/>
    <xf numFmtId="0" fontId="14" fillId="14" borderId="80" xfId="0" applyFont="1" applyFill="1" applyBorder="1" applyAlignment="1">
      <alignment horizontal="center" vertical="center"/>
    </xf>
    <xf numFmtId="0" fontId="16" fillId="18" borderId="36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1" fontId="16" fillId="3" borderId="13" xfId="0" applyNumberFormat="1" applyFont="1" applyFill="1" applyBorder="1" applyAlignment="1">
      <alignment horizontal="center" vertical="center"/>
    </xf>
    <xf numFmtId="171" fontId="16" fillId="3" borderId="13" xfId="0" applyNumberFormat="1" applyFont="1" applyFill="1" applyBorder="1" applyAlignment="1">
      <alignment horizontal="center" vertical="center"/>
    </xf>
    <xf numFmtId="0" fontId="14" fillId="15" borderId="13" xfId="0" applyFont="1" applyFill="1" applyBorder="1" applyAlignment="1">
      <alignment vertical="center"/>
    </xf>
    <xf numFmtId="2" fontId="33" fillId="6" borderId="13" xfId="0" applyNumberFormat="1" applyFont="1" applyFill="1" applyBorder="1" applyAlignment="1">
      <alignment horizontal="center" vertical="center"/>
    </xf>
    <xf numFmtId="1" fontId="16" fillId="18" borderId="13" xfId="0" applyNumberFormat="1" applyFont="1" applyFill="1" applyBorder="1" applyAlignment="1">
      <alignment horizontal="center" vertical="center"/>
    </xf>
    <xf numFmtId="167" fontId="16" fillId="18" borderId="13" xfId="0" applyNumberFormat="1" applyFont="1" applyFill="1" applyBorder="1" applyAlignment="1">
      <alignment horizontal="center" vertical="center"/>
    </xf>
    <xf numFmtId="172" fontId="14" fillId="18" borderId="13" xfId="0" applyNumberFormat="1" applyFont="1" applyFill="1" applyBorder="1" applyAlignment="1">
      <alignment horizontal="center" vertical="center"/>
    </xf>
    <xf numFmtId="172" fontId="19" fillId="7" borderId="13" xfId="0" applyNumberFormat="1" applyFont="1" applyFill="1" applyBorder="1" applyAlignment="1">
      <alignment horizontal="center" vertical="center"/>
    </xf>
    <xf numFmtId="0" fontId="16" fillId="18" borderId="13" xfId="0" applyFont="1" applyFill="1" applyBorder="1" applyAlignment="1">
      <alignment horizontal="center" vertical="center"/>
    </xf>
    <xf numFmtId="0" fontId="14" fillId="18" borderId="13" xfId="0" applyFont="1" applyFill="1" applyBorder="1" applyAlignment="1">
      <alignment horizontal="center" vertical="center"/>
    </xf>
    <xf numFmtId="0" fontId="16" fillId="18" borderId="21" xfId="0" applyFont="1" applyFill="1" applyBorder="1" applyAlignment="1">
      <alignment horizontal="center" vertical="center"/>
    </xf>
    <xf numFmtId="0" fontId="17" fillId="0" borderId="16" xfId="0" applyFont="1" applyBorder="1" applyAlignment="1">
      <alignment vertical="center"/>
    </xf>
    <xf numFmtId="0" fontId="0" fillId="0" borderId="37" xfId="4" applyNumberFormat="1" applyFont="1" applyFill="1" applyBorder="1"/>
    <xf numFmtId="164" fontId="14" fillId="3" borderId="0" xfId="0" applyNumberFormat="1" applyFont="1" applyFill="1" applyAlignment="1">
      <alignment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97" fillId="0" borderId="32" xfId="0" applyFont="1" applyBorder="1" applyAlignment="1">
      <alignment horizontal="left" wrapText="1"/>
    </xf>
    <xf numFmtId="0" fontId="63" fillId="3" borderId="24" xfId="0" applyFont="1" applyFill="1" applyBorder="1" applyAlignment="1">
      <alignment horizontal="left"/>
    </xf>
    <xf numFmtId="0" fontId="14" fillId="3" borderId="0" xfId="0" applyFont="1" applyFill="1" applyAlignment="1">
      <alignment horizontal="right" wrapText="1"/>
    </xf>
    <xf numFmtId="0" fontId="14" fillId="3" borderId="0" xfId="0" applyFont="1" applyFill="1" applyAlignment="1">
      <alignment horizontal="right" vertical="center"/>
    </xf>
    <xf numFmtId="14" fontId="16" fillId="3" borderId="0" xfId="0" applyNumberFormat="1" applyFont="1" applyFill="1" applyAlignment="1">
      <alignment horizontal="center" vertical="center"/>
    </xf>
    <xf numFmtId="0" fontId="96" fillId="3" borderId="24" xfId="0" applyFont="1" applyFill="1" applyBorder="1" applyAlignment="1">
      <alignment horizontal="left" wrapText="1"/>
    </xf>
    <xf numFmtId="0" fontId="96" fillId="3" borderId="32" xfId="0" applyFont="1" applyFill="1" applyBorder="1" applyAlignment="1">
      <alignment horizontal="left" wrapText="1"/>
    </xf>
    <xf numFmtId="0" fontId="98" fillId="0" borderId="40" xfId="0" applyFont="1" applyBorder="1" applyAlignment="1">
      <alignment horizontal="left"/>
    </xf>
    <xf numFmtId="0" fontId="39" fillId="10" borderId="36" xfId="0" applyFont="1" applyFill="1" applyBorder="1" applyAlignment="1">
      <alignment horizontal="left" vertical="center"/>
    </xf>
    <xf numFmtId="0" fontId="39" fillId="10" borderId="37" xfId="0" applyFont="1" applyFill="1" applyBorder="1" applyAlignment="1">
      <alignment horizontal="left" vertical="center"/>
    </xf>
    <xf numFmtId="0" fontId="39" fillId="10" borderId="35" xfId="0" applyFont="1" applyFill="1" applyBorder="1" applyAlignment="1">
      <alignment horizontal="left" vertical="center"/>
    </xf>
    <xf numFmtId="0" fontId="98" fillId="0" borderId="32" xfId="0" applyFont="1" applyBorder="1" applyAlignment="1">
      <alignment horizontal="left"/>
    </xf>
    <xf numFmtId="0" fontId="15" fillId="22" borderId="28" xfId="0" applyFont="1" applyFill="1" applyBorder="1" applyAlignment="1">
      <alignment horizontal="right" vertical="center"/>
    </xf>
    <xf numFmtId="0" fontId="15" fillId="22" borderId="32" xfId="0" applyFont="1" applyFill="1" applyBorder="1" applyAlignment="1">
      <alignment horizontal="right" vertical="center"/>
    </xf>
    <xf numFmtId="0" fontId="15" fillId="22" borderId="29" xfId="0" applyFont="1" applyFill="1" applyBorder="1" applyAlignment="1">
      <alignment horizontal="right" vertical="center"/>
    </xf>
    <xf numFmtId="0" fontId="62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56" fillId="18" borderId="28" xfId="0" applyFont="1" applyFill="1" applyBorder="1" applyAlignment="1">
      <alignment horizontal="center" vertical="center" wrapText="1"/>
    </xf>
    <xf numFmtId="0" fontId="56" fillId="18" borderId="32" xfId="0" applyFont="1" applyFill="1" applyBorder="1" applyAlignment="1">
      <alignment horizontal="center" vertical="center" wrapText="1"/>
    </xf>
    <xf numFmtId="0" fontId="0" fillId="18" borderId="32" xfId="0" applyFill="1" applyBorder="1" applyAlignment="1">
      <alignment vertical="center"/>
    </xf>
    <xf numFmtId="0" fontId="0" fillId="18" borderId="29" xfId="0" applyFill="1" applyBorder="1" applyAlignment="1">
      <alignment vertical="center"/>
    </xf>
    <xf numFmtId="0" fontId="50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7" fillId="3" borderId="24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23" borderId="12" xfId="0" applyFont="1" applyFill="1" applyBorder="1" applyAlignment="1">
      <alignment horizontal="left"/>
    </xf>
    <xf numFmtId="0" fontId="3" fillId="23" borderId="0" xfId="0" applyFont="1" applyFill="1" applyAlignment="1">
      <alignment horizontal="left"/>
    </xf>
    <xf numFmtId="0" fontId="77" fillId="3" borderId="0" xfId="0" applyFont="1" applyFill="1" applyAlignment="1">
      <alignment horizontal="left" vertical="center"/>
    </xf>
    <xf numFmtId="0" fontId="0" fillId="3" borderId="22" xfId="0" applyFill="1" applyBorder="1" applyAlignment="1">
      <alignment horizontal="center"/>
    </xf>
    <xf numFmtId="9" fontId="0" fillId="3" borderId="34" xfId="3" applyFont="1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75" fillId="3" borderId="70" xfId="0" applyFont="1" applyFill="1" applyBorder="1" applyAlignment="1">
      <alignment horizontal="left"/>
    </xf>
    <xf numFmtId="0" fontId="75" fillId="3" borderId="69" xfId="0" applyFont="1" applyFill="1" applyBorder="1" applyAlignment="1">
      <alignment horizontal="left"/>
    </xf>
    <xf numFmtId="0" fontId="0" fillId="3" borderId="64" xfId="0" applyFill="1" applyBorder="1" applyAlignment="1">
      <alignment horizontal="left"/>
    </xf>
    <xf numFmtId="0" fontId="0" fillId="3" borderId="63" xfId="0" applyFill="1" applyBorder="1" applyAlignment="1">
      <alignment horizontal="left"/>
    </xf>
    <xf numFmtId="0" fontId="75" fillId="3" borderId="77" xfId="0" applyFont="1" applyFill="1" applyBorder="1" applyAlignment="1">
      <alignment horizontal="left"/>
    </xf>
    <xf numFmtId="0" fontId="75" fillId="3" borderId="78" xfId="0" applyFont="1" applyFill="1" applyBorder="1" applyAlignment="1">
      <alignment horizontal="left"/>
    </xf>
    <xf numFmtId="0" fontId="85" fillId="0" borderId="28" xfId="0" applyFont="1" applyBorder="1" applyAlignment="1">
      <alignment horizontal="center" vertical="center" wrapText="1"/>
    </xf>
    <xf numFmtId="0" fontId="85" fillId="0" borderId="32" xfId="0" applyFont="1" applyBorder="1" applyAlignment="1">
      <alignment horizontal="center" vertical="center" wrapText="1"/>
    </xf>
    <xf numFmtId="0" fontId="85" fillId="0" borderId="29" xfId="0" applyFont="1" applyBorder="1" applyAlignment="1">
      <alignment horizontal="center" vertical="center" wrapText="1"/>
    </xf>
    <xf numFmtId="0" fontId="43" fillId="4" borderId="28" xfId="0" applyFont="1" applyFill="1" applyBorder="1" applyAlignment="1">
      <alignment horizontal="center" vertical="center"/>
    </xf>
    <xf numFmtId="0" fontId="43" fillId="4" borderId="32" xfId="0" applyFont="1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1" fontId="79" fillId="0" borderId="4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2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80" fillId="0" borderId="4" xfId="0" applyFont="1" applyBorder="1" applyAlignment="1">
      <alignment horizontal="center" vertical="center"/>
    </xf>
    <xf numFmtId="0" fontId="81" fillId="0" borderId="5" xfId="0" applyFont="1" applyBorder="1"/>
    <xf numFmtId="0" fontId="81" fillId="0" borderId="6" xfId="0" applyFont="1" applyBorder="1"/>
    <xf numFmtId="0" fontId="81" fillId="0" borderId="30" xfId="0" applyFont="1" applyBorder="1"/>
    <xf numFmtId="0" fontId="81" fillId="0" borderId="24" xfId="0" applyFont="1" applyBorder="1"/>
    <xf numFmtId="0" fontId="81" fillId="0" borderId="31" xfId="0" applyFont="1" applyBorder="1"/>
    <xf numFmtId="0" fontId="43" fillId="4" borderId="43" xfId="0" applyFont="1" applyFill="1" applyBorder="1" applyAlignment="1">
      <alignment horizontal="center" vertical="center"/>
    </xf>
    <xf numFmtId="0" fontId="43" fillId="4" borderId="44" xfId="0" applyFont="1" applyFill="1" applyBorder="1" applyAlignment="1">
      <alignment horizontal="center" vertical="center"/>
    </xf>
    <xf numFmtId="0" fontId="46" fillId="0" borderId="0" xfId="0" applyFont="1" applyAlignment="1">
      <alignment horizontal="left" vertical="center" wrapText="1"/>
    </xf>
    <xf numFmtId="0" fontId="46" fillId="0" borderId="0" xfId="0" applyFont="1" applyAlignment="1">
      <alignment wrapText="1"/>
    </xf>
    <xf numFmtId="2" fontId="25" fillId="4" borderId="0" xfId="0" applyNumberFormat="1" applyFont="1" applyFill="1" applyAlignment="1">
      <alignment horizontal="center" vertical="center"/>
    </xf>
    <xf numFmtId="0" fontId="0" fillId="0" borderId="0" xfId="0"/>
    <xf numFmtId="0" fontId="91" fillId="0" borderId="0" xfId="0" applyFont="1" applyAlignment="1">
      <alignment horizontal="left" vertical="center"/>
    </xf>
    <xf numFmtId="0" fontId="92" fillId="0" borderId="0" xfId="0" applyFont="1"/>
    <xf numFmtId="0" fontId="22" fillId="4" borderId="0" xfId="0" applyFont="1" applyFill="1" applyAlignment="1">
      <alignment horizontal="left" vertical="center"/>
    </xf>
    <xf numFmtId="0" fontId="86" fillId="3" borderId="0" xfId="0" applyFont="1" applyFill="1" applyAlignment="1">
      <alignment horizontal="center" vertical="center" wrapText="1"/>
    </xf>
    <xf numFmtId="1" fontId="26" fillId="3" borderId="0" xfId="0" applyNumberFormat="1" applyFont="1" applyFill="1" applyAlignment="1">
      <alignment horizontal="center" vertical="center" wrapText="1"/>
    </xf>
    <xf numFmtId="0" fontId="0" fillId="3" borderId="0" xfId="0" applyFill="1"/>
    <xf numFmtId="176" fontId="89" fillId="0" borderId="32" xfId="0" applyNumberFormat="1" applyFont="1" applyBorder="1"/>
    <xf numFmtId="168" fontId="57" fillId="4" borderId="32" xfId="0" applyNumberFormat="1" applyFont="1" applyFill="1" applyBorder="1" applyAlignment="1">
      <alignment horizontal="center"/>
    </xf>
    <xf numFmtId="0" fontId="89" fillId="0" borderId="29" xfId="0" applyFont="1" applyBorder="1"/>
    <xf numFmtId="176" fontId="89" fillId="0" borderId="68" xfId="0" applyNumberFormat="1" applyFont="1" applyBorder="1"/>
    <xf numFmtId="0" fontId="0" fillId="0" borderId="32" xfId="0" applyBorder="1"/>
    <xf numFmtId="0" fontId="0" fillId="0" borderId="29" xfId="0" applyBorder="1"/>
    <xf numFmtId="164" fontId="49" fillId="3" borderId="0" xfId="4" applyFont="1" applyFill="1" applyBorder="1" applyAlignment="1">
      <alignment horizontal="center" vertical="center"/>
    </xf>
    <xf numFmtId="0" fontId="10" fillId="3" borderId="0" xfId="0" applyFont="1" applyFill="1"/>
    <xf numFmtId="0" fontId="43" fillId="4" borderId="4" xfId="0" applyFont="1" applyFill="1" applyBorder="1" applyAlignment="1">
      <alignment horizontal="center" vertical="center"/>
    </xf>
    <xf numFmtId="0" fontId="0" fillId="0" borderId="30" xfId="0" applyBorder="1" applyAlignment="1">
      <alignment vertical="center"/>
    </xf>
    <xf numFmtId="164" fontId="48" fillId="4" borderId="0" xfId="4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4" fontId="34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2" fillId="4" borderId="28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43" fillId="4" borderId="5" xfId="0" applyFont="1" applyFill="1" applyBorder="1" applyAlignment="1">
      <alignment horizontal="center" vertical="center"/>
    </xf>
    <xf numFmtId="0" fontId="43" fillId="4" borderId="6" xfId="0" applyFont="1" applyFill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2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74" fontId="34" fillId="0" borderId="28" xfId="0" applyNumberFormat="1" applyFont="1" applyBorder="1" applyAlignment="1">
      <alignment horizontal="center" vertical="center"/>
    </xf>
    <xf numFmtId="174" fontId="34" fillId="0" borderId="29" xfId="0" applyNumberFormat="1" applyFont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58" fillId="12" borderId="5" xfId="0" applyFont="1" applyFill="1" applyBorder="1"/>
    <xf numFmtId="0" fontId="58" fillId="12" borderId="6" xfId="0" applyFont="1" applyFill="1" applyBorder="1"/>
    <xf numFmtId="0" fontId="58" fillId="12" borderId="30" xfId="0" applyFont="1" applyFill="1" applyBorder="1"/>
    <xf numFmtId="0" fontId="58" fillId="12" borderId="24" xfId="0" applyFont="1" applyFill="1" applyBorder="1"/>
    <xf numFmtId="0" fontId="58" fillId="12" borderId="31" xfId="0" applyFont="1" applyFill="1" applyBorder="1"/>
    <xf numFmtId="0" fontId="43" fillId="4" borderId="41" xfId="0" applyFont="1" applyFill="1" applyBorder="1" applyAlignment="1">
      <alignment horizontal="center" vertical="center"/>
    </xf>
    <xf numFmtId="1" fontId="42" fillId="0" borderId="4" xfId="0" applyNumberFormat="1" applyFont="1" applyBorder="1" applyAlignment="1">
      <alignment horizontal="center" vertical="center"/>
    </xf>
    <xf numFmtId="1" fontId="42" fillId="0" borderId="6" xfId="0" applyNumberFormat="1" applyFont="1" applyBorder="1" applyAlignment="1">
      <alignment horizontal="center" vertical="center"/>
    </xf>
    <xf numFmtId="1" fontId="42" fillId="0" borderId="30" xfId="0" applyNumberFormat="1" applyFont="1" applyBorder="1" applyAlignment="1">
      <alignment horizontal="center" vertical="center"/>
    </xf>
    <xf numFmtId="1" fontId="42" fillId="0" borderId="31" xfId="0" applyNumberFormat="1" applyFont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5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3" borderId="21" xfId="0" applyFill="1" applyBorder="1" applyAlignment="1">
      <alignment horizontal="left" vertical="top"/>
    </xf>
    <xf numFmtId="0" fontId="0" fillId="3" borderId="17" xfId="0" applyFill="1" applyBorder="1" applyAlignment="1">
      <alignment horizontal="left" vertical="top"/>
    </xf>
    <xf numFmtId="0" fontId="0" fillId="3" borderId="18" xfId="0" applyFill="1" applyBorder="1" applyAlignment="1">
      <alignment horizontal="left" vertical="top"/>
    </xf>
    <xf numFmtId="0" fontId="0" fillId="3" borderId="12" xfId="0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3" borderId="15" xfId="0" applyFill="1" applyBorder="1" applyAlignment="1">
      <alignment horizontal="left" vertical="top"/>
    </xf>
    <xf numFmtId="0" fontId="0" fillId="3" borderId="19" xfId="0" applyFill="1" applyBorder="1" applyAlignment="1">
      <alignment horizontal="left" vertical="top"/>
    </xf>
    <xf numFmtId="0" fontId="0" fillId="3" borderId="16" xfId="0" applyFill="1" applyBorder="1" applyAlignment="1">
      <alignment horizontal="left" vertical="top"/>
    </xf>
    <xf numFmtId="0" fontId="0" fillId="3" borderId="20" xfId="0" applyFill="1" applyBorder="1" applyAlignment="1">
      <alignment horizontal="left" vertical="top"/>
    </xf>
    <xf numFmtId="166" fontId="0" fillId="3" borderId="2" xfId="0" applyNumberFormat="1" applyFill="1" applyBorder="1" applyAlignment="1">
      <alignment horizontal="left" vertical="top"/>
    </xf>
    <xf numFmtId="166" fontId="0" fillId="3" borderId="14" xfId="0" applyNumberFormat="1" applyFill="1" applyBorder="1" applyAlignment="1">
      <alignment horizontal="left" vertical="top"/>
    </xf>
    <xf numFmtId="166" fontId="0" fillId="3" borderId="3" xfId="0" applyNumberFormat="1" applyFill="1" applyBorder="1" applyAlignment="1">
      <alignment horizontal="left" vertical="top"/>
    </xf>
    <xf numFmtId="0" fontId="0" fillId="3" borderId="22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5" xfId="0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22" xfId="0" applyFill="1" applyBorder="1" applyAlignment="1">
      <alignment horizontal="left" vertical="center" wrapText="1"/>
    </xf>
    <xf numFmtId="14" fontId="0" fillId="3" borderId="1" xfId="0" applyNumberForma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7" fillId="19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30" xfId="0" applyBorder="1"/>
    <xf numFmtId="0" fontId="0" fillId="0" borderId="24" xfId="0" applyBorder="1"/>
    <xf numFmtId="0" fontId="0" fillId="0" borderId="31" xfId="0" applyBorder="1"/>
    <xf numFmtId="1" fontId="69" fillId="0" borderId="4" xfId="0" applyNumberFormat="1" applyFont="1" applyBorder="1" applyAlignment="1">
      <alignment horizontal="center" vertical="center"/>
    </xf>
    <xf numFmtId="0" fontId="69" fillId="0" borderId="42" xfId="0" applyFont="1" applyBorder="1" applyAlignment="1">
      <alignment horizontal="center" vertical="center"/>
    </xf>
    <xf numFmtId="0" fontId="69" fillId="0" borderId="3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2" fontId="69" fillId="0" borderId="5" xfId="0" applyNumberFormat="1" applyFont="1" applyBorder="1" applyAlignment="1">
      <alignment horizontal="center" vertical="center"/>
    </xf>
    <xf numFmtId="2" fontId="69" fillId="0" borderId="0" xfId="0" applyNumberFormat="1" applyFont="1" applyAlignment="1">
      <alignment horizontal="center" vertical="center"/>
    </xf>
    <xf numFmtId="2" fontId="69" fillId="0" borderId="24" xfId="0" applyNumberFormat="1" applyFont="1" applyBorder="1" applyAlignment="1">
      <alignment horizontal="center" vertical="center"/>
    </xf>
    <xf numFmtId="0" fontId="69" fillId="0" borderId="6" xfId="0" applyFont="1" applyBorder="1" applyAlignment="1">
      <alignment horizontal="center" vertical="center"/>
    </xf>
    <xf numFmtId="0" fontId="69" fillId="0" borderId="54" xfId="0" applyFont="1" applyBorder="1" applyAlignment="1">
      <alignment horizontal="center" vertical="center"/>
    </xf>
    <xf numFmtId="0" fontId="69" fillId="0" borderId="31" xfId="0" applyFont="1" applyBorder="1" applyAlignment="1">
      <alignment horizontal="center" vertical="center"/>
    </xf>
    <xf numFmtId="0" fontId="8" fillId="29" borderId="28" xfId="0" applyFont="1" applyFill="1" applyBorder="1" applyAlignment="1">
      <alignment horizontal="center" vertical="center"/>
    </xf>
    <xf numFmtId="0" fontId="8" fillId="29" borderId="32" xfId="0" applyFont="1" applyFill="1" applyBorder="1" applyAlignment="1">
      <alignment horizontal="center" vertical="center"/>
    </xf>
    <xf numFmtId="0" fontId="8" fillId="29" borderId="29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8" borderId="28" xfId="0" applyFont="1" applyFill="1" applyBorder="1" applyAlignment="1">
      <alignment horizontal="left" vertical="center"/>
    </xf>
    <xf numFmtId="0" fontId="0" fillId="8" borderId="32" xfId="0" applyFill="1" applyBorder="1" applyAlignment="1">
      <alignment horizontal="left" vertical="center"/>
    </xf>
    <xf numFmtId="0" fontId="0" fillId="8" borderId="29" xfId="0" applyFill="1" applyBorder="1" applyAlignment="1">
      <alignment horizontal="left" vertical="center"/>
    </xf>
    <xf numFmtId="0" fontId="14" fillId="3" borderId="4" xfId="0" applyFont="1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31" fillId="9" borderId="28" xfId="0" applyFont="1" applyFill="1" applyBorder="1" applyAlignment="1">
      <alignment horizontal="center" vertical="center"/>
    </xf>
    <xf numFmtId="0" fontId="31" fillId="9" borderId="32" xfId="0" applyFont="1" applyFill="1" applyBorder="1" applyAlignment="1">
      <alignment horizontal="center" vertical="center"/>
    </xf>
    <xf numFmtId="0" fontId="31" fillId="9" borderId="29" xfId="0" applyFont="1" applyFill="1" applyBorder="1" applyAlignment="1">
      <alignment horizontal="center" vertical="center"/>
    </xf>
    <xf numFmtId="0" fontId="30" fillId="3" borderId="57" xfId="0" applyFont="1" applyFill="1" applyBorder="1" applyAlignment="1">
      <alignment vertical="center"/>
    </xf>
    <xf numFmtId="0" fontId="0" fillId="0" borderId="58" xfId="0" applyBorder="1" applyAlignment="1">
      <alignment vertical="center"/>
    </xf>
    <xf numFmtId="0" fontId="0" fillId="0" borderId="55" xfId="0" applyBorder="1" applyAlignment="1">
      <alignment vertical="center"/>
    </xf>
  </cellXfs>
  <cellStyles count="8">
    <cellStyle name="Hipervínculo visitado" xfId="6" builtinId="9" hidden="1"/>
    <cellStyle name="Hipervínculo visitado" xfId="5" builtinId="9" hidden="1"/>
    <cellStyle name="Moneda" xfId="1" builtinId="4"/>
    <cellStyle name="Moneda [0]" xfId="4" builtinId="7"/>
    <cellStyle name="Normal" xfId="0" builtinId="0"/>
    <cellStyle name="Normal 2" xfId="2" xr:uid="{00000000-0005-0000-0000-000007000000}"/>
    <cellStyle name="Normal 3" xfId="7" xr:uid="{9CDE62B6-C3E8-AE4C-A639-A86F2D5768B2}"/>
    <cellStyle name="Porcentaje" xfId="3" builtinId="5"/>
  </cellStyles>
  <dxfs count="9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0" formatCode="General"/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63"/>
        <name val="Calibri"/>
        <family val="2"/>
        <scheme val="none"/>
      </font>
      <numFmt numFmtId="0" formatCode="General"/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0" formatCode="General"/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72" formatCode="0.0"/>
      <fill>
        <patternFill patternType="solid">
          <fgColor indexed="64"/>
          <bgColor indexed="4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63"/>
        <name val="Calibri"/>
        <family val="2"/>
        <scheme val="none"/>
      </font>
      <numFmt numFmtId="172" formatCode="0.0"/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63"/>
        <name val="Calibri"/>
        <family val="2"/>
        <scheme val="none"/>
      </font>
      <numFmt numFmtId="172" formatCode="0.0"/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63"/>
        <name val="Calibri"/>
        <family val="2"/>
        <scheme val="none"/>
      </font>
      <numFmt numFmtId="172" formatCode="0.0"/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63"/>
        <name val="Calibri"/>
        <family val="2"/>
        <scheme val="none"/>
      </font>
      <numFmt numFmtId="172" formatCode="0.0"/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" formatCode="0"/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10"/>
        <name val="Calibri"/>
        <family val="2"/>
        <scheme val="none"/>
      </font>
      <numFmt numFmtId="2" formatCode="0.00"/>
      <fill>
        <patternFill patternType="solid">
          <fgColor indexed="64"/>
          <bgColor indexed="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67" formatCode="0.000"/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" formatCode="0"/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10"/>
        <name val="Calibri"/>
        <family val="2"/>
        <scheme val="none"/>
      </font>
      <numFmt numFmtId="2" formatCode="0.00"/>
      <fill>
        <patternFill patternType="solid">
          <fgColor indexed="64"/>
          <bgColor indexed="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63"/>
        <name val="Calibri"/>
        <family val="2"/>
        <scheme val="none"/>
      </font>
      <fill>
        <patternFill patternType="solid">
          <fgColor indexed="64"/>
          <bgColor theme="1" tint="4.9989318521683403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71" formatCode="0.0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71" formatCode="0.0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63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6"/>
      </font>
      <numFmt numFmtId="0" formatCode="General"/>
      <alignment horizontal="general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7" formatCode="0.000"/>
      <fill>
        <patternFill patternType="solid">
          <fgColor indexed="64"/>
          <bgColor theme="5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7" formatCode="0.000"/>
      <fill>
        <patternFill patternType="solid">
          <fgColor indexed="64"/>
          <bgColor theme="5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Arial"/>
        <family val="2"/>
        <scheme val="none"/>
      </font>
      <numFmt numFmtId="175" formatCode="_-&quot;$&quot;* #,##0_-;\-&quot;$&quot;* #,##0_-;_-&quot;$&quot;* &quot;-&quot;???_-;_-@_-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Arial"/>
        <family val="2"/>
        <scheme val="none"/>
      </font>
      <numFmt numFmtId="167" formatCode="0.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Arial"/>
        <family val="2"/>
        <scheme val="none"/>
      </font>
      <numFmt numFmtId="167" formatCode="0.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Arial"/>
        <family val="2"/>
        <scheme val="none"/>
      </font>
      <numFmt numFmtId="167" formatCode="0.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Arial"/>
        <family val="2"/>
        <scheme val="none"/>
      </font>
      <numFmt numFmtId="167" formatCode="0.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Arial"/>
        <family val="2"/>
        <scheme val="none"/>
      </font>
      <numFmt numFmtId="167" formatCode="0.000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indexed="63"/>
        <name val="Arial"/>
        <family val="2"/>
        <scheme val="none"/>
      </font>
      <numFmt numFmtId="167" formatCode="0.000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indexed="63"/>
        <name val="Arial"/>
        <family val="2"/>
        <scheme val="none"/>
      </font>
      <numFmt numFmtId="167" formatCode="0.000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indexed="63"/>
        <name val="Arial"/>
        <family val="2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indexed="63"/>
        <name val="Arial"/>
        <family val="2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medium">
          <color auto="1"/>
        </left>
        <right style="medium">
          <color auto="1"/>
        </right>
        <top style="medium">
          <color indexed="64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3"/>
        <name val="Arial"/>
        <family val="2"/>
        <scheme val="none"/>
      </font>
      <numFmt numFmtId="167" formatCode="0.000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3"/>
        <name val="Arial"/>
        <family val="2"/>
        <scheme val="none"/>
      </font>
      <numFmt numFmtId="1" formatCode="0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3"/>
        <name val="Arial"/>
        <family val="2"/>
        <scheme val="none"/>
      </font>
      <numFmt numFmtId="167" formatCode="0.000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3"/>
        <name val="Arial"/>
        <family val="2"/>
        <scheme val="none"/>
      </font>
      <numFmt numFmtId="167" formatCode="0.000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3"/>
        <name val="Arial"/>
        <family val="2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3"/>
        <name val="Arial"/>
        <family val="2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3"/>
        <name val="Arial"/>
        <family val="2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border outline="0">
        <left style="medium">
          <color auto="1"/>
        </lef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3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rgb="FF002060"/>
        </left>
        <right style="dotted">
          <color rgb="FF00206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rgb="FF002060"/>
        </left>
        <right style="dotted">
          <color rgb="FF00206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rgb="FF002060"/>
        </left>
        <right style="dotted">
          <color rgb="FF00206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rgb="FF002060"/>
        </left>
        <right style="dotted">
          <color rgb="FF00206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rgb="FF002060"/>
        </left>
        <right style="dotted">
          <color rgb="FF00206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rgb="FF002060"/>
        </left>
        <right style="dotted">
          <color rgb="FF002060"/>
        </right>
        <top/>
        <bottom/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dotted">
          <color rgb="FF002060"/>
        </right>
        <top/>
        <bottom/>
        <vertical/>
        <horizontal/>
      </border>
    </dxf>
    <dxf>
      <border outline="0">
        <left style="thick">
          <color rgb="FF002060"/>
        </left>
        <right style="thick">
          <color rgb="FF002060"/>
        </right>
        <top style="thick">
          <color rgb="FF002060"/>
        </top>
        <bottom style="thick">
          <color rgb="FF00206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outline="0">
        <bottom style="thick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rgb="FF002060"/>
        </left>
        <right style="thick">
          <color rgb="FF00206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/>
        <bottom/>
        <vertical/>
        <horizontal/>
      </border>
    </dxf>
    <dxf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dotted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69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69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67" formatCode="0.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67" formatCode="0.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67" formatCode="0.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63"/>
        <name val="Copperplate Light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63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medium">
          <color auto="1"/>
        </left>
        <right style="medium">
          <color auto="1"/>
        </right>
        <top style="medium">
          <color indexed="64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3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color theme="1"/>
      </font>
      <fill>
        <patternFill>
          <fgColor rgb="FFECF2DF"/>
        </patternFill>
      </fill>
    </dxf>
  </dxfs>
  <tableStyles count="1" defaultTableStyle="TableStyleMedium2" defaultPivotStyle="PivotStyleLight16">
    <tableStyle name="Estilo de tabla 1" pivot="0" count="1" xr9:uid="{7D53D68B-54BE-6B48-AA13-DBDA73CCA268}">
      <tableStyleElement type="headerRow" dxfId="91"/>
    </tableStyle>
  </tableStyles>
  <colors>
    <mruColors>
      <color rgb="FFECF2DF"/>
      <color rgb="FFFFFD78"/>
      <color rgb="FF37284F"/>
      <color rgb="FF35274A"/>
      <color rgb="FFFFF6F9"/>
      <color rgb="FF3A2F55"/>
      <color rgb="FF517BA5"/>
      <color rgb="FF5A9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if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if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if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4</xdr:row>
      <xdr:rowOff>38100</xdr:rowOff>
    </xdr:from>
    <xdr:to>
      <xdr:col>39</xdr:col>
      <xdr:colOff>57152</xdr:colOff>
      <xdr:row>4</xdr:row>
      <xdr:rowOff>273756</xdr:rowOff>
    </xdr:to>
    <xdr:pic>
      <xdr:nvPicPr>
        <xdr:cNvPr id="3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1AB90320-EE9E-0B40-8A4A-D4651128F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3100" y="1473200"/>
          <a:ext cx="869950" cy="235656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</xdr:row>
      <xdr:rowOff>38100</xdr:rowOff>
    </xdr:from>
    <xdr:to>
      <xdr:col>39</xdr:col>
      <xdr:colOff>57152</xdr:colOff>
      <xdr:row>4</xdr:row>
      <xdr:rowOff>273756</xdr:rowOff>
    </xdr:to>
    <xdr:pic>
      <xdr:nvPicPr>
        <xdr:cNvPr id="4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81B89A3B-3E0B-F940-A95F-41ABE2CA6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3100" y="1473200"/>
          <a:ext cx="869950" cy="235656"/>
        </a:xfrm>
        <a:prstGeom prst="rect">
          <a:avLst/>
        </a:prstGeom>
      </xdr:spPr>
    </xdr:pic>
    <xdr:clientData/>
  </xdr:twoCellAnchor>
  <xdr:twoCellAnchor editAs="oneCell">
    <xdr:from>
      <xdr:col>0</xdr:col>
      <xdr:colOff>757670</xdr:colOff>
      <xdr:row>0</xdr:row>
      <xdr:rowOff>7216</xdr:rowOff>
    </xdr:from>
    <xdr:to>
      <xdr:col>3</xdr:col>
      <xdr:colOff>604171</xdr:colOff>
      <xdr:row>1</xdr:row>
      <xdr:rowOff>376235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F8654A0-3A5C-8F4C-89E4-037203187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7670" y="7216"/>
          <a:ext cx="2465877" cy="8813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409575</xdr:colOff>
      <xdr:row>3</xdr:row>
      <xdr:rowOff>246448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3E3DC3D-2EEF-43F1-9F17-9B1E47A73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85950" cy="8893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112889</xdr:colOff>
      <xdr:row>0</xdr:row>
      <xdr:rowOff>139029</xdr:rowOff>
    </xdr:from>
    <xdr:to>
      <xdr:col>2</xdr:col>
      <xdr:colOff>96405</xdr:colOff>
      <xdr:row>3</xdr:row>
      <xdr:rowOff>25641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112E741-A90B-1145-B438-C124CDBEE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889" y="139029"/>
          <a:ext cx="2440518" cy="8320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1206500</xdr:colOff>
      <xdr:row>1</xdr:row>
      <xdr:rowOff>81303</xdr:rowOff>
    </xdr:to>
    <xdr:pic>
      <xdr:nvPicPr>
        <xdr:cNvPr id="1037" name="Picture 13">
          <a:extLst>
            <a:ext uri="{FF2B5EF4-FFF2-40B4-BE49-F238E27FC236}">
              <a16:creationId xmlns:a16="http://schemas.microsoft.com/office/drawing/2014/main" id="{00000000-0008-0000-03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2307167" cy="592477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88604</xdr:colOff>
      <xdr:row>0</xdr:row>
      <xdr:rowOff>162443</xdr:rowOff>
    </xdr:from>
    <xdr:to>
      <xdr:col>2</xdr:col>
      <xdr:colOff>723900</xdr:colOff>
      <xdr:row>5</xdr:row>
      <xdr:rowOff>200235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E2C359F-47FA-1840-8873-B5857A825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604" y="162443"/>
          <a:ext cx="2514896" cy="1028392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F55B1A-85F8-461D-BCBC-48B8D81FA567}" name="NotaDeVenta" displayName="NotaDeVenta" ref="B9:L110" totalsRowShown="0" headerRowDxfId="78" tableBorderDxfId="77">
  <autoFilter ref="B9:L110" xr:uid="{45F55B1A-85F8-461D-BCBC-48B8D81FA5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717AD37F-47BA-4B3F-8D0E-A44EC339CC5E}" name="Producto" dataDxfId="76"/>
    <tableColumn id="2" xr3:uid="{4503A827-7C13-4D61-9437-171D71ECD7E0}" name="Textil" dataDxfId="75"/>
    <tableColumn id="3" xr3:uid="{C52B8C18-6CF8-4650-8EDE-E952978BA767}" name="Ancho Tela" dataDxfId="74">
      <calculatedColumnFormula>IF(ISTEXT(C10),VLOOKUP(C10,$AC$5:$AE$234,2,FALSE),"")</calculatedColumnFormula>
    </tableColumn>
    <tableColumn id="4" xr3:uid="{03AF02AC-F147-40E6-837E-3A7C68289364}" name="Ancho" dataDxfId="73"/>
    <tableColumn id="5" xr3:uid="{BEDF7098-F75C-4503-B040-7FADDCF45E44}" name="Alto" dataDxfId="72"/>
    <tableColumn id="6" xr3:uid="{508B56CC-7A9D-4C53-AA08-E45FB037CFD5}" name="Cantidad" dataDxfId="71"/>
    <tableColumn id="7" xr3:uid="{12518FAD-5240-4FBC-97E6-457FA2BD3150}" name="unid x ancho" dataDxfId="70">
      <calculatedColumnFormula>IF(ISNUMBER(E10),IF(ROUNDDOWN(D10/E10,0)&lt;1,NotaDeVenta[[#This Row],[Ancho Tela]]/NotaDeVenta[[#This Row],[Ancho]],ROUND(NotaDeVenta[[#This Row],[Ancho Tela]]/NotaDeVenta[[#This Row],[Ancho]],0)),"")</calculatedColumnFormula>
    </tableColumn>
    <tableColumn id="8" xr3:uid="{8C168341-B116-4117-88CC-0EDBA4C99563}" name="ratio" dataDxfId="69">
      <calculatedColumnFormula>IF(ISNUMBER(H10),G10/H10,"")</calculatedColumnFormula>
    </tableColumn>
    <tableColumn id="9" xr3:uid="{E8EB34EB-C08D-47C3-A2EC-8CA8F96C8B49}" name="ML impresos" dataDxfId="68">
      <calculatedColumnFormula>IF(ISNUMBER(G10),IF(OR(B10="Textil Backlight",B10="Caja + Backlight"),E10*F10*G10,F10*I10),0)</calculatedColumnFormula>
    </tableColumn>
    <tableColumn id="10" xr3:uid="{3518F83C-159A-429E-9F69-E5DFA145C21A}" name="valor x ML" dataDxfId="67" dataCellStyle="Moneda">
      <calculatedColumnFormula>IF(ISTEXT(C10),VLOOKUP(C10,$AC$5:$AE$234,3,FALSE),"")</calculatedColumnFormula>
    </tableColumn>
    <tableColumn id="11" xr3:uid="{199B2223-1634-4B59-8824-C8B2FA5A1957}" name="Tema" dataDxfId="66"/>
  </tableColumns>
  <tableStyleInfo name="Estilo de tab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EAAFEB-A2CB-46CE-A1E3-B6D7E58B308F}" name="TablaValoresProducto" displayName="TablaValoresProducto" ref="B116:I216" totalsRowShown="0" headerRowDxfId="65" dataDxfId="63" headerRowBorderDxfId="64" tableBorderDxfId="62" dataCellStyle="Moneda">
  <autoFilter ref="B116:I216" xr:uid="{FCEAAFEB-A2CB-46CE-A1E3-B6D7E58B308F}"/>
  <tableColumns count="8">
    <tableColumn id="1" xr3:uid="{56917B73-4D90-4EA1-9077-E5311434D134}" name="Producto" dataDxfId="61">
      <calculatedColumnFormula>B10</calculatedColumnFormula>
    </tableColumn>
    <tableColumn id="2" xr3:uid="{7590FD35-5CAD-4465-95FD-DCCB224CF381}" name="Valor impresion total" dataDxfId="60" dataCellStyle="Moneda">
      <calculatedColumnFormula>IF(ISNUMBER(K10),J10*K10,0)</calculatedColumnFormula>
    </tableColumn>
    <tableColumn id="3" xr3:uid="{A5CF9EE5-D432-4A9C-AB66-BE05751BBAAA}" name="Estructura" dataDxfId="59" dataCellStyle="Moneda">
      <calculatedColumnFormula>IF(ISNUMBER(C117),VLOOKUP(B117,Productos!$A$2:$G$111,7,FALSE),0)</calculatedColumnFormula>
    </tableColumn>
    <tableColumn id="4" xr3:uid="{D0A605E6-AD95-4778-9E19-3522DA6AB4D3}" name="Terminaciones" dataDxfId="58" dataCellStyle="Moneda">
      <calculatedColumnFormula>IF(B117&lt;&gt;"",VLOOKUP(B117,Productos!$A$2:$G$116,6,FALSE),0)</calculatedColumnFormula>
    </tableColumn>
    <tableColumn id="5" xr3:uid="{1265221F-9861-480E-9924-B7A413822E57}" name="Otros x1" dataDxfId="57" dataCellStyle="Moneda"/>
    <tableColumn id="6" xr3:uid="{6717EEF3-EF34-4B91-A2FC-CE0C4689C38E}" name="Valor unitario prod" dataDxfId="56" dataCellStyle="Moneda">
      <calculatedColumnFormula>IF(B117="Caja + Backlight",'NV CAJAS (BL)'!L27+TablaValoresProducto[[#This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total]]/G10+TablaValoresProducto[[#This Row],[Estructura]]+TablaValoresProducto[[#This Row],[Terminaciones]]+TablaValoresProducto[[#This Row],[Otros x1]],0))</calculatedColumnFormula>
    </tableColumn>
    <tableColumn id="7" xr3:uid="{569040D7-FC75-49C0-8787-55BF059E5D99}" name="Total neto" dataDxfId="55" dataCellStyle="Moneda">
      <calculatedColumnFormula>IF(ISNUMBER(G117),G117*G10,0)</calculatedColumnFormula>
    </tableColumn>
    <tableColumn id="8" xr3:uid="{37998E99-23E4-4828-AA9A-67968E1A29E1}" name="Valor Impresión Unit" dataDxfId="54" dataCellStyle="Moneda">
      <calculatedColumnFormula>TablaValoresProducto[[#This Row],[Valor impresion total]]/G10</calculatedColumnFormula>
    </tableColumn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657EC5-7F3B-9F4F-981F-236A24BB6284}" name="COTIZACION" displayName="COTIZACION" ref="B11:I111" totalsRowShown="0" headerRowDxfId="90" headerRowBorderDxfId="89" tableBorderDxfId="88" totalsRowBorderDxfId="87">
  <tableColumns count="8">
    <tableColumn id="1" xr3:uid="{4745F664-B0B9-8542-9C1F-99DB4E6D99D8}" name="Tema" dataDxfId="86">
      <calculatedColumnFormula>'Nota de venta'!L10</calculatedColumnFormula>
    </tableColumn>
    <tableColumn id="2" xr3:uid="{66BA370D-6B74-3747-9307-896EDEA400D0}" name="#" dataDxfId="85">
      <calculatedColumnFormula>'Nota de venta'!G10</calculatedColumnFormula>
    </tableColumn>
    <tableColumn id="3" xr3:uid="{2EF6C038-EA06-0143-B1EC-87AB369E2275}" name="Producto" dataDxfId="84">
      <calculatedColumnFormula>'Nota de venta'!B10</calculatedColumnFormula>
    </tableColumn>
    <tableColumn id="4" xr3:uid="{A5037E39-0905-4E4F-B60F-55DB643D6DC1}" name="Ancho" dataDxfId="83">
      <calculatedColumnFormula>'Nota de venta'!E10</calculatedColumnFormula>
    </tableColumn>
    <tableColumn id="5" xr3:uid="{6EA3C8C9-83E9-0042-9D1E-887391611AD8}" name="Alto" dataDxfId="82">
      <calculatedColumnFormula>'Nota de venta'!F10</calculatedColumnFormula>
    </tableColumn>
    <tableColumn id="7" xr3:uid="{291314EE-E84A-4DE1-B4C8-D3F3F1B64B46}" name="ML" dataDxfId="81">
      <calculatedColumnFormula>'Nota de venta'!J10</calculatedColumnFormula>
    </tableColumn>
    <tableColumn id="6" xr3:uid="{DD337221-E570-134B-8506-169D19FC1775}" name="valor unitario" dataDxfId="80" dataCellStyle="Moneda">
      <calculatedColumnFormula>'Nota de venta'!G117</calculatedColumnFormula>
    </tableColumn>
    <tableColumn id="9" xr3:uid="{021C8C5C-A5B9-E34C-B161-FB4AA6331ACD}" name="Valor Total" dataDxfId="79" dataCellStyle="Moneda">
      <calculatedColumnFormula>IF(ISNUMBER(COTIZACION[[#This Row],[valor unitario]]),COTIZACION[[#This Row],[valor unitario]]*COTIZACION[[#This Row],['#]],0)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80DAF8-519B-4A4D-B992-A93E9E8C7AFD}" name="Tabla5" displayName="Tabla5" ref="A9:G110" totalsRowShown="0" headerRowDxfId="53" dataDxfId="51" headerRowBorderDxfId="52" tableBorderDxfId="50">
  <autoFilter ref="A9:G110" xr:uid="{ED80DAF8-519B-4A4D-B992-A93E9E8C7A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47FE6556-6CF8-4AFE-88B5-72DFBBA14078}" name="TEMA" dataDxfId="49">
      <calculatedColumnFormula>NotaDeVenta[[#This Row],[Tema]]</calculatedColumnFormula>
    </tableColumn>
    <tableColumn id="2" xr3:uid="{525375BC-4E2E-496E-B4F9-08B3FBEEF9B1}" name="Producto" dataDxfId="48">
      <calculatedColumnFormula>NotaDeVenta[[#This Row],[Producto]]</calculatedColumnFormula>
    </tableColumn>
    <tableColumn id="3" xr3:uid="{3CE00620-917F-4A12-BA27-646A12893A66}" name="Textil" dataDxfId="47">
      <calculatedColumnFormula>NotaDeVenta[[#This Row],[Textil]]</calculatedColumnFormula>
    </tableColumn>
    <tableColumn id="4" xr3:uid="{472F8946-F36B-413D-81C6-1AC9FE8DC79D}" name="Ancho" dataDxfId="46">
      <calculatedColumnFormula>NotaDeVenta[[#This Row],[Ancho]]</calculatedColumnFormula>
    </tableColumn>
    <tableColumn id="5" xr3:uid="{4E38C9D9-DDB3-4F1B-BD73-1FFDD0F162A9}" name="Alto" dataDxfId="45">
      <calculatedColumnFormula>NotaDeVenta[[#This Row],[Alto]]</calculatedColumnFormula>
    </tableColumn>
    <tableColumn id="6" xr3:uid="{0F400A98-CF2F-4A66-9073-BF80B6A6E8EB}" name="#" dataDxfId="44">
      <calculatedColumnFormula>NotaDeVenta[[#This Row],[Cantidad]]</calculatedColumnFormula>
    </tableColumn>
    <tableColumn id="7" xr3:uid="{602737AF-275E-4BB3-9EF9-0CD1DACBC55F}" name="ML" dataDxfId="43">
      <calculatedColumnFormula>NotaDeVenta[[#This Row],[ML impresos]]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525FA2-F71E-0047-86C1-963F31BDB788}" name="TablaOpTelas" displayName="TablaOpTelas" ref="B8:N108" totalsRowShown="0" headerRowDxfId="42" dataDxfId="41" tableBorderDxfId="40">
  <autoFilter ref="B8:N108" xr:uid="{25525FA2-F71E-0047-86C1-963F31BDB788}"/>
  <tableColumns count="13">
    <tableColumn id="1" xr3:uid="{525B3110-BCC1-1949-8797-1E5E79B63D5B}" name="textil" dataDxfId="39">
      <calculatedColumnFormula>'Nota de venta'!C10</calculatedColumnFormula>
    </tableColumn>
    <tableColumn id="2" xr3:uid="{3254CD78-FAEF-7C47-9511-61E1E2F9D434}" name="#" dataDxfId="38">
      <calculatedColumnFormula>'Nota de venta'!G10</calculatedColumnFormula>
    </tableColumn>
    <tableColumn id="3" xr3:uid="{4D2727CE-1D91-9E40-AEAE-40136A814E26}" name="ANCHO" dataDxfId="37">
      <calculatedColumnFormula>'Nota de venta'!E10</calculatedColumnFormula>
    </tableColumn>
    <tableColumn id="4" xr3:uid="{4CE97519-CB9A-D647-9E76-540CF01B2C51}" name="ALTO" dataDxfId="36">
      <calculatedColumnFormula>'Nota de venta'!F10</calculatedColumnFormula>
    </tableColumn>
    <tableColumn id="5" xr3:uid="{FB3711BA-F0FC-CE42-A723-BCD1110A9FA5}" name="exc cms x lado" dataDxfId="35"/>
    <tableColumn id="6" xr3:uid="{522BE264-EE7F-9B40-991A-CFBBE4FEC689}" name="ancho final" dataDxfId="34">
      <calculatedColumnFormula>TablaOpTelas[[#This Row],[ANCHO]]+(TablaOpTelas[[#This Row],[exc cms x lado]]/100)*2</calculatedColumnFormula>
    </tableColumn>
    <tableColumn id="7" xr3:uid="{2EDA380A-5DE1-F348-857A-E7AA5BAD9472}" name="alto final" dataDxfId="33">
      <calculatedColumnFormula>TablaOpTelas[[#This Row],[ALTO]]+(TablaOpTelas[[#This Row],[exc cms x lado]]/100)*2</calculatedColumnFormula>
    </tableColumn>
    <tableColumn id="8" xr3:uid="{6943F06A-6C66-6D41-BFC2-960182ED4796}" name="m2 unit" dataDxfId="32">
      <calculatedColumnFormula>TablaOpTelas[[#This Row],[ancho final]]*TablaOpTelas[[#This Row],[alto final]]</calculatedColumnFormula>
    </tableColumn>
    <tableColumn id="9" xr3:uid="{F705AC6B-8DEC-5F44-9B72-BEFA6886DB7B}" name="m2 total" dataDxfId="31">
      <calculatedColumnFormula>TablaOpTelas[[#This Row],[m2 unit]]*TablaOpTelas[[#This Row],['#]]</calculatedColumnFormula>
    </tableColumn>
    <tableColumn id="10" xr3:uid="{E4FCF294-22D3-B046-B2E3-B9344BC57156}" name="valor unit" dataDxfId="30">
      <calculatedColumnFormula>TablaOpTelas[[#This Row],[ANCHO]]*TablaOpTelas[[#This Row],[ALTO]]*$J$6</calculatedColumnFormula>
    </tableColumn>
    <tableColumn id="11" xr3:uid="{D00DD6C0-4E70-674B-A603-7858D738D1ED}" name="corte ancho" dataDxfId="29">
      <calculatedColumnFormula>IF($J$7="CAJA TERMINADA",TablaOpTelas[[#This Row],[ANCHO]]+0.013,TablaOpTelas[[#This Row],[ANCHO]]+0.023)</calculatedColumnFormula>
    </tableColumn>
    <tableColumn id="12" xr3:uid="{572DC0C8-0A78-BE46-AF1C-C74F523B793A}" name="corte alto" dataDxfId="28">
      <calculatedColumnFormula>IF($J$7="CAJA TERMINADA",TablaOpTelas[[#This Row],[ALTO]]+0.013,TablaOpTelas[[#This Row],[ALTO]]+0.023)</calculatedColumnFormula>
    </tableColumn>
    <tableColumn id="13" xr3:uid="{F9206661-B6BF-394F-8A3C-037D45BE20AB}" name="tema" dataDxfId="27">
      <calculatedColumnFormula>'Nota de venta'!L10</calculatedColumnFormula>
    </tableColumn>
  </tableColumns>
  <tableStyleInfo name="Estilo de tabla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A6E825-4990-4ECD-BD27-000537939C50}" name="Tabla1" displayName="Tabla1" ref="C15:Z23" totalsRowShown="0" headerRowDxfId="26" dataDxfId="25" tableBorderDxfId="24">
  <autoFilter ref="C15:Z23" xr:uid="{20A6E825-4990-4ECD-BD27-000537939C50}"/>
  <tableColumns count="24">
    <tableColumn id="1" xr3:uid="{F32B71C9-B34B-4AC7-AFC6-D09BF67C1792}" name="Producto nro" dataDxfId="23">
      <calculatedColumnFormula>'Nota de venta'!A10</calculatedColumnFormula>
    </tableColumn>
    <tableColumn id="2" xr3:uid="{914F72FF-D5F6-408D-84A6-ABB3A4F70A39}" name="Cantidad" dataDxfId="22">
      <calculatedColumnFormula>'Nota de venta'!G10</calculatedColumnFormula>
    </tableColumn>
    <tableColumn id="3" xr3:uid="{2F04DB6D-96C4-4642-A2EB-E3F1DC959203}" name="lado + largo" dataDxfId="21">
      <calculatedColumnFormula>IF('Nota de venta'!F10&gt;'Nota de venta'!E10,'Nota de venta'!F10,'Nota de venta'!E10)</calculatedColumnFormula>
    </tableColumn>
    <tableColumn id="4" xr3:uid="{BE646E1B-7792-4414-B6D7-8255341AD2CD}" name="lado + corto" dataDxfId="20">
      <calculatedColumnFormula>IF('Nota de venta'!F10&lt;'Nota de venta'!E10,'Nota de venta'!F10,'Nota de venta'!E10)</calculatedColumnFormula>
    </tableColumn>
    <tableColumn id="5" xr3:uid="{EFEEACC7-AB9A-498B-BC76-F21494B58FEE}" name="Columna1" dataDxfId="19"/>
    <tableColumn id="6" xr3:uid="{9D3DF9F9-8017-4913-9EC7-2C4D7C8B058E}" name="led 1" dataDxfId="18">
      <calculatedColumnFormula>IF(ISTEXT(Tabla1[[#This Row],[Producto nro]]),IF(OR(Tabla1[[#This Row],[Producto nro]]="PERFIL 60 MM",Tabla1[[#This Row],[lado + corto]]&gt;1.4),"Malla Front Led 50x150 5k","Led Lateral Actilum M12 -6k, 90 cms max 1000mm"),"")</calculatedColumnFormula>
    </tableColumn>
    <tableColumn id="7" xr3:uid="{3C0B42DD-CC9D-44C6-976E-779463C1EBE0}" name="Ancho led 1" dataDxfId="17">
      <calculatedColumnFormula>VLOOKUP(H16,$BE$15:$BG$29,$R26,FALSE)</calculatedColumnFormula>
    </tableColumn>
    <tableColumn id="8" xr3:uid="{649229DC-C9EB-4C42-91E0-57B7F15E0754}" name="# led 1 x lado" dataDxfId="16">
      <calculatedColumnFormula>TRUNC((E16-0.03)/I16)</calculatedColumnFormula>
    </tableColumn>
    <tableColumn id="9" xr3:uid="{6470301F-98E9-4A64-A86C-196B79711CB8}" name="ml x cubrir" dataDxfId="15">
      <calculatedColumnFormula>E16-(J16*I16)</calculatedColumnFormula>
    </tableColumn>
    <tableColumn id="10" xr3:uid="{0B4BEFB0-6BA9-40C9-AFD0-3BD4AC5812EE}" name="led 2" dataDxfId="14">
      <calculatedColumnFormula>IF(Tabla1[[#This Row],[Producto nro]]="PERFIL 60 MM","sin luces","sin luces")</calculatedColumnFormula>
    </tableColumn>
    <tableColumn id="11" xr3:uid="{8D555D81-9F30-4955-9E9D-53D8D00E4DCF}" name="Ancho led 2" dataDxfId="13">
      <calculatedColumnFormula>VLOOKUP(L16,$BE$15:$BG$29,$R26,FALSE)</calculatedColumnFormula>
    </tableColumn>
    <tableColumn id="12" xr3:uid="{2A7FD30C-88C8-405C-9E82-FA9AE8704061}" name="# led 2 x lado" dataDxfId="12">
      <calculatedColumnFormula>IF(M16=0,0,TRUNC(K16/M16))</calculatedColumnFormula>
    </tableColumn>
    <tableColumn id="13" xr3:uid="{5A097497-B236-4547-BDD4-357302EAF8E6}" name="lados a cubrir" dataDxfId="11">
      <calculatedColumnFormula>IF(Tabla1[[#This Row],[Producto nro]]="PERFIL 60 MM",1,
IF(Tabla1[[#This Row],[led 1]]="",0,
IF(Tabla1[[#This Row],[led 1]]="Led Lateral Actilum M12 -6k, 90 cms max 1000mm",
  IF(Tabla1[[#This Row],[lado + corto]]&lt;0.8,1,
    IF(Tabla1[[#This Row],[lado + corto]]&lt;140,2,0)),1)))</calculatedColumnFormula>
    </tableColumn>
    <tableColumn id="14" xr3:uid="{FDBC5852-D307-41EE-903C-961594BA637E}" name="luces 1 x caja" dataDxfId="10">
      <calculatedColumnFormula>+$J16*$O16</calculatedColumnFormula>
    </tableColumn>
    <tableColumn id="15" xr3:uid="{15463D2C-389F-4366-983F-94B93501105D}" name="luces 2 x caja" dataDxfId="9">
      <calculatedColumnFormula>+$N16*$O16</calculatedColumnFormula>
    </tableColumn>
    <tableColumn id="16" xr3:uid="{DB4323A0-BEEC-4DE6-8730-5729E463259F}" name="luces 1 totales" dataDxfId="8">
      <calculatedColumnFormula>+P16*D16</calculatedColumnFormula>
    </tableColumn>
    <tableColumn id="17" xr3:uid="{264B1897-6838-48F3-9F78-31A71A137BE8}" name="luces 2 totales" dataDxfId="7">
      <calculatedColumnFormula>+Q16*D16</calculatedColumnFormula>
    </tableColumn>
    <tableColumn id="18" xr3:uid="{2E2FEC13-9159-4F52-8673-07EB59BA18E7}" name="mts lineales x caja" dataDxfId="6">
      <calculatedColumnFormula>+E16*2+F16*2</calculatedColumnFormula>
    </tableColumn>
    <tableColumn id="19" xr3:uid="{5CE5FEBF-641B-4402-B4B7-6D671766F4F8}" name="armado" dataDxfId="5">
      <calculatedColumnFormula>IF(T16=0,"",IF(T16&lt;1,"ARMADO MINIMO",IF(T16&lt;=4,"ARMADO SIMPLE",IF(T16&lt;=6,"ARMADO MEDIO",IF(T16&lt;8,"ARMADO COMPLEJO","ARMADO JUMBO")))))</calculatedColumnFormula>
    </tableColumn>
    <tableColumn id="20" xr3:uid="{8127A44F-AAF9-4390-8442-0C9FBA96135B}" name="traseras" dataDxfId="4">
      <calculatedColumnFormula>IF(AND(Y16="",H16=""),"",IF(ISNUMBER(FIND("DOBLE",Y16)),"sin traseras",IF(OR(H16="Malla Front Led 50x150 5k",H16="malla front led 12v 6000 k"),"alucobond 122x244","trovicel  122")))</calculatedColumnFormula>
    </tableColumn>
    <tableColumn id="21" xr3:uid="{3834B019-FD27-457A-9C5D-275B6E960A60}" name="FP" dataDxfId="3">
      <calculatedColumnFormula>IF(ISNUMBER(Tabla1[[#This Row],[WATTS]]),
IF(Tabla1[[#This Row],[WATTS]]&lt;35,VLOOKUP(35,$BS$14:$BT$22,2,FALSE),
IF(Tabla1[[#This Row],[WATTS]]&lt;50,VLOOKUP(50,$BS$14:$BT$22,2,FALSE),
IF(Tabla1[[#This Row],[WATTS]]&lt;75,VLOOKUP(75,$BS$14:$BT$22,2,FALSE),
IF(Tabla1[[#This Row],[WATTS]]&lt;100,VLOOKUP(100,$BS$14:$BT$22,2,FALSE),
IF(Tabla1[[#This Row],[WATTS]]&lt;150,VLOOKUP(150,$BS$14:$BT$22,2,FALSE),
IF(Tabla1[[#This Row],[WATTS]]&lt;200,VLOOKUP(200,$BS$14:$BT$22,2,FALSE),
IF(Tabla1[[#This Row],[WATTS]]&lt;350,VLOOKUP(350,$BS$14:$BT$22,2,FALSE),
IF(Tabla1[[#This Row],[WATTS]]&lt;=400,VLOOKUP(450,$BS$14:$BT$22,2,FALSE),
"2 FP 350 watts - 24v MEAN WELL")))))))))</calculatedColumnFormula>
    </tableColumn>
    <tableColumn id="22" xr3:uid="{A0510C05-DA01-4D10-B072-4ADF379B814E}" name="WATTS" dataDxfId="2">
      <calculatedColumnFormula>+VLOOKUP(Tabla1[[#This Row],[led 1]],$BE$15:$BI$26,AA16,FALSE)*Tabla1[[#This Row],[luces 1 x caja]]+VLOOKUP(Tabla1[[#This Row],[led 2]],$BE$15:$BI$26,AA16,FALSE)*Tabla1[[#This Row],[luces 2 x caja]]</calculatedColumnFormula>
    </tableColumn>
    <tableColumn id="23" xr3:uid="{9D696236-6396-43B8-BC38-49DF0F1CFA4C}" name="tipo perfil" dataDxfId="1">
      <calculatedColumnFormula>IF(C16="","",IF(ISNUMBER(FIND("6",C16)),"PERFIL 60 MM",IF(ISNUMBER(FIND("8",C16)),"PERFIL 80 MM", IF(ISNUMBER(FIND("10",C16)),IF(ISNUMBER(FIND("doble",C16)), "PERFIL 100 MM DOBLE", "PERFIL 100 MM SIMPLE"), "PERFIL 120 MM SIMPLE"))))</calculatedColumnFormula>
    </tableColumn>
    <tableColumn id="24" xr3:uid="{87344E5D-3A46-4741-9087-27869FE9517D}" name="mts lineales totales" dataDxfId="0">
      <calculatedColumnFormula>Tabla1[[#This Row],[mts lineales x caja]]*Tabla1[[#This Row],[Cantidad]]</calculatedColumnFormula>
    </tableColumn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J28"/>
  <sheetViews>
    <sheetView workbookViewId="0">
      <selection activeCell="I11" sqref="I11"/>
    </sheetView>
  </sheetViews>
  <sheetFormatPr baseColWidth="10" defaultColWidth="10.796875" defaultRowHeight="14.25"/>
  <cols>
    <col min="1" max="1" width="19.33203125" bestFit="1" customWidth="1"/>
    <col min="2" max="2" width="12.6640625" bestFit="1" customWidth="1"/>
    <col min="3" max="3" width="9.33203125" bestFit="1" customWidth="1"/>
    <col min="4" max="4" width="9.6640625" bestFit="1" customWidth="1"/>
    <col min="5" max="5" width="10.6640625" bestFit="1" customWidth="1"/>
    <col min="6" max="6" width="9.33203125" bestFit="1" customWidth="1"/>
    <col min="7" max="7" width="9.6640625" bestFit="1" customWidth="1"/>
    <col min="8" max="8" width="10.6640625" bestFit="1" customWidth="1"/>
    <col min="9" max="9" width="9.33203125" bestFit="1" customWidth="1"/>
    <col min="10" max="10" width="10.6640625" bestFit="1" customWidth="1"/>
  </cols>
  <sheetData>
    <row r="1" spans="1:10" s="54" customFormat="1">
      <c r="C1" s="504" t="s">
        <v>1</v>
      </c>
      <c r="D1" s="506"/>
      <c r="E1" s="505"/>
      <c r="F1" s="504" t="s">
        <v>93</v>
      </c>
      <c r="G1" s="506"/>
      <c r="H1" s="505"/>
      <c r="I1" s="504" t="s">
        <v>56</v>
      </c>
      <c r="J1" s="505"/>
    </row>
    <row r="2" spans="1:10" s="54" customFormat="1">
      <c r="A2" s="55" t="s">
        <v>61</v>
      </c>
      <c r="B2" s="56" t="s">
        <v>73</v>
      </c>
      <c r="C2" s="57" t="s">
        <v>74</v>
      </c>
      <c r="D2" s="55" t="s">
        <v>106</v>
      </c>
      <c r="E2" s="58" t="s">
        <v>37</v>
      </c>
      <c r="F2" s="57" t="s">
        <v>74</v>
      </c>
      <c r="G2" s="55" t="s">
        <v>106</v>
      </c>
      <c r="H2" s="58" t="s">
        <v>37</v>
      </c>
      <c r="I2" s="57" t="s">
        <v>50</v>
      </c>
      <c r="J2" s="58" t="s">
        <v>12</v>
      </c>
    </row>
    <row r="3" spans="1:10">
      <c r="A3" s="1" t="s">
        <v>23</v>
      </c>
      <c r="B3" s="3">
        <v>35000</v>
      </c>
      <c r="C3" s="4">
        <v>14000</v>
      </c>
      <c r="D3" s="2">
        <v>12500</v>
      </c>
      <c r="E3" s="5">
        <v>10500</v>
      </c>
      <c r="F3" s="4">
        <v>11000</v>
      </c>
      <c r="G3" s="2">
        <v>9500</v>
      </c>
      <c r="H3" s="5">
        <v>8000</v>
      </c>
      <c r="I3" s="4">
        <v>9500</v>
      </c>
      <c r="J3" s="5">
        <v>8000</v>
      </c>
    </row>
    <row r="4" spans="1:10">
      <c r="A4" s="1" t="s">
        <v>10</v>
      </c>
      <c r="B4" s="3">
        <v>36000</v>
      </c>
      <c r="C4" s="4">
        <v>15000</v>
      </c>
      <c r="D4" s="2">
        <v>13000</v>
      </c>
      <c r="E4" s="5">
        <v>11500</v>
      </c>
      <c r="F4" s="4">
        <v>11500</v>
      </c>
      <c r="G4" s="2">
        <v>10000</v>
      </c>
      <c r="H4" s="5">
        <v>9000</v>
      </c>
      <c r="I4" s="4">
        <v>10000</v>
      </c>
      <c r="J4" s="5">
        <v>9000</v>
      </c>
    </row>
    <row r="5" spans="1:10">
      <c r="A5" s="1" t="s">
        <v>109</v>
      </c>
      <c r="B5" s="3">
        <v>36000</v>
      </c>
      <c r="C5" s="4">
        <v>15000</v>
      </c>
      <c r="D5" s="2">
        <v>13000</v>
      </c>
      <c r="E5" s="5">
        <v>11500</v>
      </c>
      <c r="F5" s="4">
        <v>11500</v>
      </c>
      <c r="G5" s="2">
        <v>10000</v>
      </c>
      <c r="H5" s="5">
        <v>9000</v>
      </c>
      <c r="I5" s="4">
        <v>10000</v>
      </c>
      <c r="J5" s="5">
        <v>9000</v>
      </c>
    </row>
    <row r="6" spans="1:10">
      <c r="A6" s="1" t="s">
        <v>110</v>
      </c>
      <c r="B6" s="3">
        <v>40000</v>
      </c>
      <c r="C6" s="4">
        <v>15500</v>
      </c>
      <c r="D6" s="2">
        <v>13500</v>
      </c>
      <c r="E6" s="5">
        <v>12000</v>
      </c>
      <c r="F6" s="4">
        <v>12000</v>
      </c>
      <c r="G6" s="2">
        <v>11000</v>
      </c>
      <c r="H6" s="5">
        <v>10000</v>
      </c>
      <c r="I6" s="4">
        <v>11000</v>
      </c>
      <c r="J6" s="5">
        <v>10000</v>
      </c>
    </row>
    <row r="7" spans="1:10">
      <c r="A7" s="1" t="s">
        <v>60</v>
      </c>
      <c r="B7" s="3">
        <v>40000</v>
      </c>
      <c r="C7" s="4">
        <v>16000</v>
      </c>
      <c r="D7" s="2">
        <v>14000</v>
      </c>
      <c r="E7" s="5">
        <v>12500</v>
      </c>
      <c r="F7" s="4">
        <v>12500</v>
      </c>
      <c r="G7" s="2">
        <v>11500</v>
      </c>
      <c r="H7" s="5">
        <v>10500</v>
      </c>
      <c r="I7" s="4">
        <v>11500</v>
      </c>
      <c r="J7" s="5">
        <v>10500</v>
      </c>
    </row>
    <row r="8" spans="1:10">
      <c r="A8" s="1" t="s">
        <v>84</v>
      </c>
      <c r="B8" s="3">
        <v>40000</v>
      </c>
      <c r="C8" s="4">
        <v>16500</v>
      </c>
      <c r="D8" s="2">
        <v>14500</v>
      </c>
      <c r="E8" s="5">
        <v>13000</v>
      </c>
      <c r="F8" s="4">
        <v>13000</v>
      </c>
      <c r="G8" s="2">
        <v>12000</v>
      </c>
      <c r="H8" s="5">
        <v>11000</v>
      </c>
      <c r="I8" s="4">
        <v>12000</v>
      </c>
      <c r="J8" s="5">
        <v>11000</v>
      </c>
    </row>
    <row r="9" spans="1:10" ht="14.65" thickBot="1">
      <c r="A9" s="1" t="s">
        <v>30</v>
      </c>
      <c r="B9" s="3">
        <v>45000</v>
      </c>
      <c r="C9" s="6">
        <v>17000</v>
      </c>
      <c r="D9" s="7">
        <v>15000</v>
      </c>
      <c r="E9" s="8">
        <v>14000</v>
      </c>
      <c r="F9" s="6">
        <v>14000</v>
      </c>
      <c r="G9" s="7">
        <v>13000</v>
      </c>
      <c r="H9" s="8">
        <v>12000</v>
      </c>
      <c r="I9" s="6">
        <v>13000</v>
      </c>
      <c r="J9" s="8">
        <v>12000</v>
      </c>
    </row>
    <row r="11" spans="1:10" s="54" customFormat="1">
      <c r="A11" s="54" t="s">
        <v>66</v>
      </c>
      <c r="B11" s="54" t="s">
        <v>24</v>
      </c>
      <c r="C11" s="54" t="s">
        <v>63</v>
      </c>
      <c r="D11" s="54" t="s">
        <v>25</v>
      </c>
      <c r="E11" s="54" t="s">
        <v>86</v>
      </c>
    </row>
    <row r="12" spans="1:10">
      <c r="A12" t="s">
        <v>57</v>
      </c>
      <c r="B12" t="s">
        <v>53</v>
      </c>
      <c r="C12" t="s">
        <v>70</v>
      </c>
      <c r="D12" t="s">
        <v>75</v>
      </c>
      <c r="E12" t="s">
        <v>114</v>
      </c>
    </row>
    <row r="13" spans="1:10">
      <c r="A13" t="s">
        <v>58</v>
      </c>
      <c r="B13" t="s">
        <v>54</v>
      </c>
      <c r="C13" t="s">
        <v>93</v>
      </c>
      <c r="D13" t="s">
        <v>113</v>
      </c>
      <c r="E13" t="s">
        <v>104</v>
      </c>
    </row>
    <row r="14" spans="1:10">
      <c r="A14" t="s">
        <v>95</v>
      </c>
      <c r="C14" t="s">
        <v>56</v>
      </c>
      <c r="D14" t="s">
        <v>105</v>
      </c>
    </row>
    <row r="15" spans="1:10">
      <c r="A15" t="s">
        <v>64</v>
      </c>
      <c r="D15" t="s">
        <v>100</v>
      </c>
    </row>
    <row r="16" spans="1:10">
      <c r="D16" t="s">
        <v>96</v>
      </c>
    </row>
    <row r="17" spans="1:4">
      <c r="D17" t="s">
        <v>64</v>
      </c>
    </row>
    <row r="19" spans="1:4">
      <c r="A19" s="9"/>
    </row>
    <row r="20" spans="1:4">
      <c r="A20" s="9"/>
    </row>
    <row r="21" spans="1:4">
      <c r="A21" s="9"/>
    </row>
    <row r="22" spans="1:4">
      <c r="A22" s="9"/>
    </row>
    <row r="23" spans="1:4">
      <c r="A23" s="9"/>
    </row>
    <row r="24" spans="1:4">
      <c r="A24" s="9"/>
    </row>
    <row r="25" spans="1:4">
      <c r="A25" s="9"/>
    </row>
    <row r="26" spans="1:4">
      <c r="A26" s="9"/>
    </row>
    <row r="27" spans="1:4">
      <c r="A27" s="9"/>
    </row>
    <row r="28" spans="1:4">
      <c r="A28" s="9"/>
    </row>
  </sheetData>
  <mergeCells count="3">
    <mergeCell ref="I1:J1"/>
    <mergeCell ref="F1:H1"/>
    <mergeCell ref="C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93B4-E18D-4592-9EAB-06D0490B1104}">
  <dimension ref="A1:AQ287"/>
  <sheetViews>
    <sheetView topLeftCell="A194" zoomScale="94" zoomScaleNormal="100" workbookViewId="0">
      <selection activeCell="A216" sqref="A216:XFD216"/>
    </sheetView>
  </sheetViews>
  <sheetFormatPr baseColWidth="10" defaultRowHeight="15" customHeight="1"/>
  <cols>
    <col min="1" max="1" width="3.73046875" style="323" customWidth="1"/>
    <col min="2" max="2" width="20.59765625" style="323" customWidth="1"/>
    <col min="3" max="3" width="19.3984375" style="323" customWidth="1"/>
    <col min="4" max="4" width="12.19921875" style="323" customWidth="1"/>
    <col min="5" max="5" width="14.19921875" style="323" customWidth="1"/>
    <col min="6" max="6" width="9.33203125" style="323" customWidth="1"/>
    <col min="7" max="7" width="17.796875" style="323" customWidth="1"/>
    <col min="8" max="8" width="13.3984375" style="323" customWidth="1"/>
    <col min="9" max="9" width="18.1328125" style="323" customWidth="1"/>
    <col min="10" max="10" width="12.73046875" style="323" customWidth="1"/>
    <col min="11" max="11" width="11.33203125" style="323" bestFit="1" customWidth="1"/>
    <col min="12" max="12" width="31.265625" style="323" customWidth="1"/>
    <col min="13" max="25" width="10.6640625" style="323"/>
    <col min="26" max="27" width="33.59765625" style="323" customWidth="1"/>
    <col min="28" max="28" width="6.796875" style="323" customWidth="1"/>
    <col min="29" max="29" width="22.3984375" style="323" customWidth="1"/>
    <col min="30" max="32" width="10.6640625" style="323"/>
    <col min="33" max="33" width="23.265625" style="323" customWidth="1"/>
    <col min="34" max="35" width="10.6640625" style="323"/>
    <col min="36" max="36" width="32.796875" style="323" customWidth="1"/>
    <col min="37" max="37" width="12.33203125" style="323" bestFit="1" customWidth="1"/>
    <col min="38" max="39" width="10.6640625" style="323"/>
    <col min="40" max="40" width="20.1328125" style="323" customWidth="1"/>
    <col min="41" max="42" width="10.6640625" style="323"/>
    <col min="43" max="43" width="114.86328125" style="323" customWidth="1"/>
    <col min="44" max="16384" width="10.6640625" style="323"/>
  </cols>
  <sheetData>
    <row r="1" spans="1:43" ht="5" customHeight="1">
      <c r="H1" s="509"/>
      <c r="I1" s="509"/>
    </row>
    <row r="2" spans="1:43" ht="22.9" customHeight="1">
      <c r="B2" s="324" t="s">
        <v>338</v>
      </c>
      <c r="C2" s="394"/>
      <c r="G2" s="324" t="s">
        <v>397</v>
      </c>
      <c r="H2" s="509"/>
      <c r="I2" s="509"/>
      <c r="Z2" s="323" t="s">
        <v>385</v>
      </c>
    </row>
    <row r="3" spans="1:43" ht="5" customHeight="1">
      <c r="H3" s="509"/>
      <c r="I3" s="509"/>
    </row>
    <row r="4" spans="1:43" ht="14.25">
      <c r="B4" s="507" t="s">
        <v>45</v>
      </c>
      <c r="C4" s="508"/>
      <c r="D4" s="508"/>
      <c r="E4" s="508"/>
      <c r="F4" s="508"/>
      <c r="G4" s="508"/>
      <c r="H4" s="508"/>
      <c r="I4" s="508"/>
      <c r="J4" s="508"/>
      <c r="Z4" s="325" t="s">
        <v>345</v>
      </c>
      <c r="AA4" s="325"/>
      <c r="AC4" s="325" t="s">
        <v>340</v>
      </c>
      <c r="AD4" s="325" t="s">
        <v>298</v>
      </c>
      <c r="AE4" s="325" t="s">
        <v>401</v>
      </c>
      <c r="AG4" s="335" t="s">
        <v>386</v>
      </c>
      <c r="AH4" s="336">
        <v>0.1</v>
      </c>
      <c r="AJ4" s="351" t="s">
        <v>72</v>
      </c>
      <c r="AK4" s="351" t="s">
        <v>392</v>
      </c>
      <c r="AQ4" s="323" t="s">
        <v>528</v>
      </c>
    </row>
    <row r="5" spans="1:43" ht="17.350000000000001" customHeight="1">
      <c r="B5" s="324" t="s">
        <v>55</v>
      </c>
      <c r="C5" s="510"/>
      <c r="D5" s="510"/>
      <c r="E5" s="510"/>
      <c r="F5" s="510"/>
      <c r="G5" s="510"/>
      <c r="H5" s="324" t="s">
        <v>398</v>
      </c>
      <c r="I5" s="512"/>
      <c r="J5" s="512"/>
      <c r="K5" s="512"/>
      <c r="L5" s="512"/>
      <c r="Z5" s="328" t="s">
        <v>346</v>
      </c>
      <c r="AA5"/>
      <c r="AB5"/>
      <c r="AC5" s="337" t="s">
        <v>414</v>
      </c>
      <c r="AD5" s="338">
        <v>1.53</v>
      </c>
      <c r="AE5" s="339">
        <v>27000</v>
      </c>
      <c r="AJ5" s="125" t="s">
        <v>346</v>
      </c>
      <c r="AK5" s="352">
        <v>7500</v>
      </c>
      <c r="AQ5" s="323" t="s">
        <v>529</v>
      </c>
    </row>
    <row r="6" spans="1:43" ht="17.350000000000001" customHeight="1">
      <c r="B6" s="324" t="s">
        <v>2</v>
      </c>
      <c r="C6" s="512"/>
      <c r="D6" s="512"/>
      <c r="E6" s="512"/>
      <c r="F6" s="512"/>
      <c r="G6" s="512"/>
      <c r="H6" s="324" t="s">
        <v>337</v>
      </c>
      <c r="I6" s="510"/>
      <c r="J6" s="510"/>
      <c r="Z6" s="328" t="s">
        <v>347</v>
      </c>
      <c r="AA6"/>
      <c r="AB6"/>
      <c r="AC6" s="340" t="s">
        <v>415</v>
      </c>
      <c r="AD6" s="341">
        <v>3.08</v>
      </c>
      <c r="AE6" s="342">
        <v>31000</v>
      </c>
      <c r="AJ6" s="125" t="s">
        <v>347</v>
      </c>
      <c r="AK6" s="352">
        <v>17000</v>
      </c>
      <c r="AQ6" s="323" t="s">
        <v>530</v>
      </c>
    </row>
    <row r="7" spans="1:43" ht="17.350000000000001" customHeight="1">
      <c r="B7" s="324" t="s">
        <v>339</v>
      </c>
      <c r="C7" s="512"/>
      <c r="D7" s="512"/>
      <c r="E7" s="512"/>
      <c r="F7" s="512"/>
      <c r="G7" s="512"/>
      <c r="H7" s="324" t="s">
        <v>5</v>
      </c>
      <c r="I7" s="511"/>
      <c r="J7" s="511"/>
      <c r="Z7" s="329" t="s">
        <v>348</v>
      </c>
      <c r="AA7" s="107"/>
      <c r="AB7" s="107"/>
      <c r="AC7" s="343" t="s">
        <v>416</v>
      </c>
      <c r="AD7" s="344">
        <v>1.53</v>
      </c>
      <c r="AE7" s="345">
        <v>23000</v>
      </c>
      <c r="AJ7" s="124" t="s">
        <v>348</v>
      </c>
      <c r="AK7" s="352">
        <v>19000</v>
      </c>
      <c r="AQ7" s="323" t="s">
        <v>531</v>
      </c>
    </row>
    <row r="8" spans="1:43" ht="17.649999999999999" customHeight="1">
      <c r="Z8" s="328" t="s">
        <v>349</v>
      </c>
      <c r="AA8"/>
      <c r="AB8"/>
      <c r="AC8" s="340" t="s">
        <v>417</v>
      </c>
      <c r="AD8" s="341">
        <v>3.08</v>
      </c>
      <c r="AE8" s="342">
        <v>31000</v>
      </c>
      <c r="AJ8" s="125" t="s">
        <v>349</v>
      </c>
      <c r="AK8" s="353">
        <v>5000</v>
      </c>
      <c r="AQ8" s="323" t="s">
        <v>532</v>
      </c>
    </row>
    <row r="9" spans="1:43" ht="23.65" customHeight="1">
      <c r="B9" s="444" t="s">
        <v>72</v>
      </c>
      <c r="C9" s="444" t="s">
        <v>340</v>
      </c>
      <c r="D9" s="444" t="s">
        <v>341</v>
      </c>
      <c r="E9" s="444" t="s">
        <v>298</v>
      </c>
      <c r="F9" s="444" t="s">
        <v>27</v>
      </c>
      <c r="G9" s="444" t="s">
        <v>6</v>
      </c>
      <c r="H9" s="444" t="s">
        <v>342</v>
      </c>
      <c r="I9" s="444" t="s">
        <v>343</v>
      </c>
      <c r="J9" s="444" t="s">
        <v>344</v>
      </c>
      <c r="K9" s="444" t="s">
        <v>526</v>
      </c>
      <c r="L9" s="444" t="s">
        <v>229</v>
      </c>
      <c r="Z9" s="330" t="s">
        <v>350</v>
      </c>
      <c r="AA9" s="334"/>
      <c r="AB9" s="334"/>
      <c r="AC9" s="346" t="s">
        <v>418</v>
      </c>
      <c r="AD9" s="347">
        <v>1.6</v>
      </c>
      <c r="AE9" s="348">
        <v>23000</v>
      </c>
      <c r="AJ9" s="152" t="s">
        <v>350</v>
      </c>
      <c r="AK9" s="352">
        <v>11000</v>
      </c>
      <c r="AQ9" s="323" t="s">
        <v>533</v>
      </c>
    </row>
    <row r="10" spans="1:43" ht="15.75">
      <c r="A10" s="323">
        <v>1</v>
      </c>
      <c r="B10" s="124"/>
      <c r="C10" s="358"/>
      <c r="D10" s="10" t="str">
        <f t="shared" ref="D10:D41" si="0">IF(ISTEXT(C10),VLOOKUP(C10,$AC$5:$AE$234,2,FALSE),"")</f>
        <v/>
      </c>
      <c r="E10" s="359"/>
      <c r="F10" s="10"/>
      <c r="G10" s="359"/>
      <c r="H10" s="10" t="str">
        <f>IF(ISNUMBER(E10),IF(ROUNDDOWN(D10/E10,0)&lt;1,NotaDeVenta[[#This Row],[Ancho Tela]]/NotaDeVenta[[#This Row],[Ancho]],ROUND(NotaDeVenta[[#This Row],[Ancho Tela]]/NotaDeVenta[[#This Row],[Ancho]],0)),"")</f>
        <v/>
      </c>
      <c r="I10" s="360" t="str">
        <f>IF(ISNUMBER(H10),G10/H10,"")</f>
        <v/>
      </c>
      <c r="J10" s="367">
        <f>IF(ISNUMBER(G10),IF(OR(B10="Textil Backlight",B10="Caja + Backlight"),E10*F10*G10,F10*I10),0)</f>
        <v>0</v>
      </c>
      <c r="K10" s="361" t="str">
        <f>IF(ISTEXT(C10),VLOOKUP(C10,$AC$5:$AE$234,3,FALSE),"")</f>
        <v/>
      </c>
      <c r="L10" s="429" t="s">
        <v>229</v>
      </c>
      <c r="M10" s="396"/>
      <c r="Z10" s="331" t="s">
        <v>351</v>
      </c>
      <c r="AA10" s="177"/>
      <c r="AB10" s="177"/>
      <c r="AC10" s="271" t="s">
        <v>627</v>
      </c>
      <c r="AD10" s="125">
        <v>1.48</v>
      </c>
      <c r="AE10" s="151">
        <v>11000</v>
      </c>
      <c r="AJ10" s="326" t="s">
        <v>351</v>
      </c>
      <c r="AK10" s="352">
        <v>15000</v>
      </c>
      <c r="AQ10" s="323" t="s">
        <v>534</v>
      </c>
    </row>
    <row r="11" spans="1:43" ht="15.75">
      <c r="A11" s="323">
        <v>2</v>
      </c>
      <c r="B11" s="429"/>
      <c r="C11" s="358"/>
      <c r="D11" s="10" t="str">
        <f t="shared" si="0"/>
        <v/>
      </c>
      <c r="E11" s="359"/>
      <c r="F11" s="10"/>
      <c r="G11" s="359"/>
      <c r="H11" s="10" t="str">
        <f>IF(ISNUMBER(E11),IF(ROUNDDOWN(D11/E11,0)&lt;1,NotaDeVenta[[#This Row],[Ancho Tela]]/NotaDeVenta[[#This Row],[Ancho]],ROUND(NotaDeVenta[[#This Row],[Ancho Tela]]/NotaDeVenta[[#This Row],[Ancho]],0)),"")</f>
        <v/>
      </c>
      <c r="I11" s="360" t="str">
        <f t="shared" ref="I11:I96" si="1">IF(ISNUMBER(H11),G11/H11,"")</f>
        <v/>
      </c>
      <c r="J11" s="367">
        <f t="shared" ref="J11:J96" si="2">IF(ISNUMBER(G11),IF(OR(B11="Textil Backlight",B11="Caja + Backlight"),E11*F11*G11,F11*I11),0)</f>
        <v>0</v>
      </c>
      <c r="K11" s="361" t="str">
        <f t="shared" ref="K11:K41" si="3">IF(ISTEXT(C11),VLOOKUP(C11,$AC$5:$AE$234,3,FALSE),"")</f>
        <v/>
      </c>
      <c r="L11" s="429"/>
      <c r="M11" s="396"/>
      <c r="Z11" s="331"/>
      <c r="AA11" s="177"/>
      <c r="AB11" s="177"/>
      <c r="AC11" s="271"/>
      <c r="AD11" s="125"/>
      <c r="AE11" s="151"/>
      <c r="AJ11" s="326"/>
      <c r="AK11" s="352"/>
    </row>
    <row r="12" spans="1:43" ht="15.75">
      <c r="A12" s="323">
        <v>3</v>
      </c>
      <c r="B12" s="429"/>
      <c r="C12" s="358"/>
      <c r="D12" s="10" t="str">
        <f t="shared" si="0"/>
        <v/>
      </c>
      <c r="E12" s="359"/>
      <c r="F12" s="10"/>
      <c r="G12" s="359"/>
      <c r="H12" s="10" t="str">
        <f>IF(ISNUMBER(E12),IF(ROUNDDOWN(D12/E12,0)&lt;1,NotaDeVenta[[#This Row],[Ancho Tela]]/NotaDeVenta[[#This Row],[Ancho]],ROUND(NotaDeVenta[[#This Row],[Ancho Tela]]/NotaDeVenta[[#This Row],[Ancho]],0)),"")</f>
        <v/>
      </c>
      <c r="I12" s="360" t="str">
        <f t="shared" ref="I12:I91" si="4">IF(ISNUMBER(H12),G12/H12,"")</f>
        <v/>
      </c>
      <c r="J12" s="367">
        <f t="shared" ref="J12:J91" si="5">IF(ISNUMBER(G12),IF(OR(B12="Textil Backlight",B12="Caja + Backlight"),E12*F12*G12,F12*I12),0)</f>
        <v>0</v>
      </c>
      <c r="K12" s="361" t="str">
        <f t="shared" si="3"/>
        <v/>
      </c>
      <c r="L12" s="429"/>
      <c r="M12" s="396"/>
      <c r="Z12" s="331"/>
      <c r="AA12" s="177"/>
      <c r="AB12" s="177"/>
      <c r="AC12" s="271"/>
      <c r="AD12" s="125"/>
      <c r="AE12" s="151"/>
      <c r="AJ12" s="326"/>
      <c r="AK12" s="352"/>
    </row>
    <row r="13" spans="1:43" ht="15.75">
      <c r="A13" s="323">
        <v>4</v>
      </c>
      <c r="B13" s="429"/>
      <c r="C13" s="358"/>
      <c r="D13" s="10" t="str">
        <f t="shared" si="0"/>
        <v/>
      </c>
      <c r="E13" s="359"/>
      <c r="F13" s="10"/>
      <c r="G13" s="359"/>
      <c r="H13" s="10" t="str">
        <f>IF(ISNUMBER(E13),IF(ROUNDDOWN(D13/E13,0)&lt;1,NotaDeVenta[[#This Row],[Ancho Tela]]/NotaDeVenta[[#This Row],[Ancho]],ROUND(NotaDeVenta[[#This Row],[Ancho Tela]]/NotaDeVenta[[#This Row],[Ancho]],0)),"")</f>
        <v/>
      </c>
      <c r="I13" s="360" t="str">
        <f t="shared" si="4"/>
        <v/>
      </c>
      <c r="J13" s="367">
        <f t="shared" si="5"/>
        <v>0</v>
      </c>
      <c r="K13" s="361" t="str">
        <f t="shared" si="3"/>
        <v/>
      </c>
      <c r="L13" s="429"/>
      <c r="M13" s="396"/>
      <c r="Z13" s="331"/>
      <c r="AA13" s="177"/>
      <c r="AB13" s="177"/>
      <c r="AC13" s="271"/>
      <c r="AD13" s="125"/>
      <c r="AE13" s="151"/>
      <c r="AJ13" s="326"/>
      <c r="AK13" s="352"/>
    </row>
    <row r="14" spans="1:43" ht="15.75">
      <c r="A14" s="323">
        <v>5</v>
      </c>
      <c r="B14" s="429"/>
      <c r="C14" s="358"/>
      <c r="D14" s="10" t="str">
        <f t="shared" si="0"/>
        <v/>
      </c>
      <c r="E14" s="359"/>
      <c r="F14" s="10"/>
      <c r="G14" s="359"/>
      <c r="H14" s="10" t="str">
        <f>IF(ISNUMBER(E14),IF(ROUNDDOWN(D14/E14,0)&lt;1,NotaDeVenta[[#This Row],[Ancho Tela]]/NotaDeVenta[[#This Row],[Ancho]],ROUND(NotaDeVenta[[#This Row],[Ancho Tela]]/NotaDeVenta[[#This Row],[Ancho]],0)),"")</f>
        <v/>
      </c>
      <c r="I14" s="360" t="str">
        <f t="shared" si="4"/>
        <v/>
      </c>
      <c r="J14" s="367">
        <f t="shared" si="5"/>
        <v>0</v>
      </c>
      <c r="K14" s="361" t="str">
        <f t="shared" si="3"/>
        <v/>
      </c>
      <c r="L14" s="429"/>
      <c r="M14" s="396"/>
      <c r="Z14" s="331"/>
      <c r="AA14" s="177"/>
      <c r="AB14" s="177"/>
      <c r="AC14" s="271"/>
      <c r="AD14" s="125"/>
      <c r="AE14" s="151"/>
      <c r="AJ14" s="326"/>
      <c r="AK14" s="352"/>
    </row>
    <row r="15" spans="1:43" ht="15.75">
      <c r="A15" s="323">
        <v>6</v>
      </c>
      <c r="B15" s="429"/>
      <c r="C15" s="358"/>
      <c r="D15" s="10" t="str">
        <f t="shared" si="0"/>
        <v/>
      </c>
      <c r="E15" s="359"/>
      <c r="F15" s="10"/>
      <c r="G15" s="359"/>
      <c r="H15" s="10" t="str">
        <f>IF(ISNUMBER(E15),IF(ROUNDDOWN(D15/E15,0)&lt;1,NotaDeVenta[[#This Row],[Ancho Tela]]/NotaDeVenta[[#This Row],[Ancho]],ROUND(NotaDeVenta[[#This Row],[Ancho Tela]]/NotaDeVenta[[#This Row],[Ancho]],0)),"")</f>
        <v/>
      </c>
      <c r="I15" s="360" t="str">
        <f t="shared" si="4"/>
        <v/>
      </c>
      <c r="J15" s="367">
        <f t="shared" si="5"/>
        <v>0</v>
      </c>
      <c r="K15" s="361" t="str">
        <f t="shared" si="3"/>
        <v/>
      </c>
      <c r="L15" s="429"/>
      <c r="M15" s="396"/>
      <c r="Z15" s="331"/>
      <c r="AA15" s="177"/>
      <c r="AB15" s="177"/>
      <c r="AC15" s="271"/>
      <c r="AD15" s="125"/>
      <c r="AE15" s="151"/>
      <c r="AJ15" s="326"/>
      <c r="AK15" s="352"/>
    </row>
    <row r="16" spans="1:43" ht="15.75">
      <c r="A16" s="323">
        <v>7</v>
      </c>
      <c r="B16" s="429"/>
      <c r="C16" s="358"/>
      <c r="D16" s="10" t="str">
        <f t="shared" si="0"/>
        <v/>
      </c>
      <c r="E16" s="359"/>
      <c r="F16" s="10"/>
      <c r="G16" s="359"/>
      <c r="H16" s="10" t="str">
        <f>IF(ISNUMBER(E16),IF(ROUNDDOWN(D16/E16,0)&lt;1,NotaDeVenta[[#This Row],[Ancho Tela]]/NotaDeVenta[[#This Row],[Ancho]],ROUND(NotaDeVenta[[#This Row],[Ancho Tela]]/NotaDeVenta[[#This Row],[Ancho]],0)),"")</f>
        <v/>
      </c>
      <c r="I16" s="360" t="str">
        <f t="shared" si="4"/>
        <v/>
      </c>
      <c r="J16" s="367">
        <f t="shared" si="5"/>
        <v>0</v>
      </c>
      <c r="K16" s="361" t="str">
        <f t="shared" si="3"/>
        <v/>
      </c>
      <c r="L16" s="429"/>
      <c r="M16" s="396"/>
      <c r="Z16" s="331"/>
      <c r="AA16" s="177"/>
      <c r="AB16" s="177"/>
      <c r="AC16" s="271"/>
      <c r="AD16" s="125"/>
      <c r="AE16" s="151"/>
      <c r="AJ16" s="326"/>
      <c r="AK16" s="352"/>
    </row>
    <row r="17" spans="1:37" ht="15.75">
      <c r="A17" s="323">
        <v>8</v>
      </c>
      <c r="B17" s="429"/>
      <c r="C17" s="358"/>
      <c r="D17" s="10" t="str">
        <f t="shared" si="0"/>
        <v/>
      </c>
      <c r="E17" s="452"/>
      <c r="F17" s="452"/>
      <c r="G17" s="452"/>
      <c r="H17" s="10" t="str">
        <f>IF(ISNUMBER(E17),IF(ROUNDDOWN(D17/E17,0)&lt;1,NotaDeVenta[[#This Row],[Ancho Tela]]/NotaDeVenta[[#This Row],[Ancho]],ROUND(NotaDeVenta[[#This Row],[Ancho Tela]]/NotaDeVenta[[#This Row],[Ancho]],0)),"")</f>
        <v/>
      </c>
      <c r="I17" s="453" t="str">
        <f t="shared" si="4"/>
        <v/>
      </c>
      <c r="J17" s="360">
        <f t="shared" si="5"/>
        <v>0</v>
      </c>
      <c r="K17" s="361" t="str">
        <f t="shared" si="3"/>
        <v/>
      </c>
      <c r="L17" s="429"/>
      <c r="M17" s="396"/>
      <c r="Z17" s="331"/>
      <c r="AA17" s="177"/>
      <c r="AB17" s="177"/>
      <c r="AC17" s="271"/>
      <c r="AD17" s="125"/>
      <c r="AE17" s="151"/>
      <c r="AJ17" s="326"/>
      <c r="AK17" s="352"/>
    </row>
    <row r="18" spans="1:37" ht="15.75">
      <c r="A18" s="323">
        <v>9</v>
      </c>
      <c r="B18" s="429"/>
      <c r="C18" s="358"/>
      <c r="D18" s="10" t="str">
        <f t="shared" si="0"/>
        <v/>
      </c>
      <c r="E18" s="359"/>
      <c r="F18" s="10"/>
      <c r="G18" s="359"/>
      <c r="H18" s="10" t="str">
        <f>IF(ISNUMBER(E18),IF(ROUNDDOWN(D18/E18,0)&lt;1,NotaDeVenta[[#This Row],[Ancho Tela]]/NotaDeVenta[[#This Row],[Ancho]],ROUND(NotaDeVenta[[#This Row],[Ancho Tela]]/NotaDeVenta[[#This Row],[Ancho]],0)),"")</f>
        <v/>
      </c>
      <c r="I18" s="453" t="str">
        <f t="shared" ref="I18:I32" si="6">IF(ISNUMBER(H18),G18/H18,"")</f>
        <v/>
      </c>
      <c r="J18" s="360">
        <f t="shared" ref="J18:J32" si="7">IF(ISNUMBER(G18),IF(OR(B18="Textil Backlight",B18="Caja + Backlight"),E18*F18*G18,F18*I18),0)</f>
        <v>0</v>
      </c>
      <c r="K18" s="442" t="str">
        <f t="shared" si="3"/>
        <v/>
      </c>
      <c r="L18" s="454"/>
      <c r="M18" s="396"/>
      <c r="Z18" s="331"/>
      <c r="AA18" s="177"/>
      <c r="AB18" s="177"/>
      <c r="AC18" s="271"/>
      <c r="AD18" s="125"/>
      <c r="AE18" s="151"/>
      <c r="AJ18" s="326"/>
      <c r="AK18" s="352"/>
    </row>
    <row r="19" spans="1:37" ht="15.75">
      <c r="A19" s="323">
        <v>10</v>
      </c>
      <c r="B19" s="429"/>
      <c r="C19" s="358"/>
      <c r="D19" s="10" t="str">
        <f t="shared" si="0"/>
        <v/>
      </c>
      <c r="E19" s="359"/>
      <c r="F19" s="10"/>
      <c r="G19" s="359"/>
      <c r="H19" s="10" t="str">
        <f>IF(ISNUMBER(E19),IF(ROUNDDOWN(D19/E19,0)&lt;1,NotaDeVenta[[#This Row],[Ancho Tela]]/NotaDeVenta[[#This Row],[Ancho]],ROUND(NotaDeVenta[[#This Row],[Ancho Tela]]/NotaDeVenta[[#This Row],[Ancho]],0)),"")</f>
        <v/>
      </c>
      <c r="I19" s="360" t="str">
        <f>IF(ISNUMBER(H19),G19/H19,"")</f>
        <v/>
      </c>
      <c r="J19" s="367">
        <f>IF(ISNUMBER(G19),IF(OR(B19="Textil Backlight",B19="Caja + Backlight"),E19*F19*G19,F19*I19),0)</f>
        <v>0</v>
      </c>
      <c r="K19" s="361" t="str">
        <f t="shared" si="3"/>
        <v/>
      </c>
      <c r="L19" s="429"/>
      <c r="M19" s="396"/>
      <c r="Z19" s="331"/>
      <c r="AA19" s="177"/>
      <c r="AB19" s="177"/>
      <c r="AC19" s="271"/>
      <c r="AD19" s="125"/>
      <c r="AE19" s="151"/>
      <c r="AJ19" s="326"/>
      <c r="AK19" s="352"/>
    </row>
    <row r="20" spans="1:37" ht="15.75">
      <c r="A20" s="323">
        <v>11</v>
      </c>
      <c r="B20" s="429"/>
      <c r="C20" s="358"/>
      <c r="D20" s="10" t="str">
        <f t="shared" si="0"/>
        <v/>
      </c>
      <c r="E20" s="359"/>
      <c r="F20" s="10"/>
      <c r="G20" s="359"/>
      <c r="H20" s="10" t="str">
        <f>IF(ISNUMBER(E20),IF(ROUNDDOWN(D20/E20,0)&lt;1,NotaDeVenta[[#This Row],[Ancho Tela]]/NotaDeVenta[[#This Row],[Ancho]],ROUND(NotaDeVenta[[#This Row],[Ancho Tela]]/NotaDeVenta[[#This Row],[Ancho]],0)),"")</f>
        <v/>
      </c>
      <c r="I20" s="360" t="str">
        <f t="shared" si="6"/>
        <v/>
      </c>
      <c r="J20" s="367">
        <f t="shared" si="7"/>
        <v>0</v>
      </c>
      <c r="K20" s="361" t="str">
        <f t="shared" si="3"/>
        <v/>
      </c>
      <c r="L20" s="429"/>
      <c r="M20" s="396"/>
      <c r="Z20" s="331"/>
      <c r="AA20" s="177"/>
      <c r="AB20" s="177"/>
      <c r="AC20" s="271"/>
      <c r="AD20" s="125"/>
      <c r="AE20" s="151"/>
      <c r="AJ20" s="326"/>
      <c r="AK20" s="352"/>
    </row>
    <row r="21" spans="1:37" ht="15.75">
      <c r="A21" s="323">
        <v>12</v>
      </c>
      <c r="B21" s="429"/>
      <c r="C21" s="358"/>
      <c r="D21" s="10" t="str">
        <f t="shared" si="0"/>
        <v/>
      </c>
      <c r="E21" s="359"/>
      <c r="F21" s="10"/>
      <c r="G21" s="359"/>
      <c r="H21" s="10" t="str">
        <f>IF(ISNUMBER(E21),IF(ROUNDDOWN(D21/E21,0)&lt;1,NotaDeVenta[[#This Row],[Ancho Tela]]/NotaDeVenta[[#This Row],[Ancho]],ROUND(NotaDeVenta[[#This Row],[Ancho Tela]]/NotaDeVenta[[#This Row],[Ancho]],0)),"")</f>
        <v/>
      </c>
      <c r="I21" s="360" t="str">
        <f t="shared" si="6"/>
        <v/>
      </c>
      <c r="J21" s="367">
        <f t="shared" si="7"/>
        <v>0</v>
      </c>
      <c r="K21" s="361" t="str">
        <f t="shared" si="3"/>
        <v/>
      </c>
      <c r="L21" s="429"/>
      <c r="M21" s="396"/>
      <c r="Z21" s="331"/>
      <c r="AA21" s="177"/>
      <c r="AB21" s="177"/>
      <c r="AC21" s="271"/>
      <c r="AD21" s="125"/>
      <c r="AE21" s="151"/>
      <c r="AJ21" s="326"/>
      <c r="AK21" s="352"/>
    </row>
    <row r="22" spans="1:37" ht="15.75">
      <c r="A22" s="323">
        <v>13</v>
      </c>
      <c r="B22" s="429"/>
      <c r="C22" s="358"/>
      <c r="D22" s="10" t="str">
        <f t="shared" si="0"/>
        <v/>
      </c>
      <c r="E22" s="359"/>
      <c r="F22" s="10"/>
      <c r="G22" s="359"/>
      <c r="H22" s="10" t="str">
        <f>IF(ISNUMBER(E22),IF(ROUNDDOWN(D22/E22,0)&lt;1,NotaDeVenta[[#This Row],[Ancho Tela]]/NotaDeVenta[[#This Row],[Ancho]],ROUND(NotaDeVenta[[#This Row],[Ancho Tela]]/NotaDeVenta[[#This Row],[Ancho]],0)),"")</f>
        <v/>
      </c>
      <c r="I22" s="360" t="str">
        <f t="shared" si="6"/>
        <v/>
      </c>
      <c r="J22" s="367">
        <f t="shared" si="7"/>
        <v>0</v>
      </c>
      <c r="K22" s="361" t="str">
        <f t="shared" si="3"/>
        <v/>
      </c>
      <c r="L22" s="429"/>
      <c r="M22" s="396"/>
      <c r="Z22" s="331"/>
      <c r="AA22" s="177"/>
      <c r="AB22" s="177"/>
      <c r="AC22" s="271"/>
      <c r="AD22" s="125"/>
      <c r="AE22" s="151"/>
      <c r="AJ22" s="326"/>
      <c r="AK22" s="352"/>
    </row>
    <row r="23" spans="1:37" ht="15.75">
      <c r="A23" s="323">
        <v>14</v>
      </c>
      <c r="B23" s="429"/>
      <c r="C23" s="358"/>
      <c r="D23" s="10" t="str">
        <f t="shared" si="0"/>
        <v/>
      </c>
      <c r="E23" s="359"/>
      <c r="F23" s="10"/>
      <c r="G23" s="359"/>
      <c r="H23" s="10" t="str">
        <f>IF(ISNUMBER(E23),IF(ROUNDDOWN(D23/E23,0)&lt;1,NotaDeVenta[[#This Row],[Ancho Tela]]/NotaDeVenta[[#This Row],[Ancho]],ROUND(NotaDeVenta[[#This Row],[Ancho Tela]]/NotaDeVenta[[#This Row],[Ancho]],0)),"")</f>
        <v/>
      </c>
      <c r="I23" s="360" t="str">
        <f t="shared" si="6"/>
        <v/>
      </c>
      <c r="J23" s="367">
        <f t="shared" si="7"/>
        <v>0</v>
      </c>
      <c r="K23" s="361" t="str">
        <f t="shared" si="3"/>
        <v/>
      </c>
      <c r="L23" s="429"/>
      <c r="M23" s="396"/>
      <c r="Z23" s="331"/>
      <c r="AA23" s="177"/>
      <c r="AB23" s="177"/>
      <c r="AC23" s="271"/>
      <c r="AD23" s="125"/>
      <c r="AE23" s="151"/>
      <c r="AJ23" s="326"/>
      <c r="AK23" s="352"/>
    </row>
    <row r="24" spans="1:37" ht="15.75">
      <c r="A24" s="323">
        <v>15</v>
      </c>
      <c r="B24" s="429"/>
      <c r="C24" s="358"/>
      <c r="D24" s="10" t="str">
        <f t="shared" si="0"/>
        <v/>
      </c>
      <c r="E24" s="359"/>
      <c r="F24" s="10"/>
      <c r="G24" s="359"/>
      <c r="H24" s="10" t="str">
        <f>IF(ISNUMBER(E24),IF(ROUNDDOWN(D24/E24,0)&lt;1,NotaDeVenta[[#This Row],[Ancho Tela]]/NotaDeVenta[[#This Row],[Ancho]],ROUND(NotaDeVenta[[#This Row],[Ancho Tela]]/NotaDeVenta[[#This Row],[Ancho]],0)),"")</f>
        <v/>
      </c>
      <c r="I24" s="360" t="str">
        <f t="shared" si="6"/>
        <v/>
      </c>
      <c r="J24" s="367">
        <f t="shared" si="7"/>
        <v>0</v>
      </c>
      <c r="K24" s="361" t="str">
        <f t="shared" si="3"/>
        <v/>
      </c>
      <c r="L24" s="429"/>
      <c r="M24" s="396"/>
      <c r="Z24" s="331"/>
      <c r="AA24" s="177"/>
      <c r="AB24" s="177"/>
      <c r="AC24" s="271"/>
      <c r="AD24" s="125"/>
      <c r="AE24" s="151"/>
      <c r="AJ24" s="326"/>
      <c r="AK24" s="352"/>
    </row>
    <row r="25" spans="1:37" ht="15.75">
      <c r="A25" s="323">
        <v>16</v>
      </c>
      <c r="B25" s="429"/>
      <c r="C25" s="358"/>
      <c r="D25" s="10" t="str">
        <f t="shared" si="0"/>
        <v/>
      </c>
      <c r="E25" s="359"/>
      <c r="F25" s="10"/>
      <c r="G25" s="359"/>
      <c r="H25" s="10" t="str">
        <f>IF(ISNUMBER(E25),IF(ROUNDDOWN(D25/E25,0)&lt;1,NotaDeVenta[[#This Row],[Ancho Tela]]/NotaDeVenta[[#This Row],[Ancho]],ROUND(NotaDeVenta[[#This Row],[Ancho Tela]]/NotaDeVenta[[#This Row],[Ancho]],0)),"")</f>
        <v/>
      </c>
      <c r="I25" s="360" t="str">
        <f t="shared" si="6"/>
        <v/>
      </c>
      <c r="J25" s="367">
        <f t="shared" si="7"/>
        <v>0</v>
      </c>
      <c r="K25" s="361" t="str">
        <f t="shared" si="3"/>
        <v/>
      </c>
      <c r="L25" s="429"/>
      <c r="M25" s="396"/>
      <c r="Z25" s="331"/>
      <c r="AA25" s="177"/>
      <c r="AB25" s="177"/>
      <c r="AC25" s="271"/>
      <c r="AD25" s="125"/>
      <c r="AE25" s="151"/>
      <c r="AJ25" s="326"/>
      <c r="AK25" s="352"/>
    </row>
    <row r="26" spans="1:37" ht="15.75">
      <c r="A26" s="323">
        <v>17</v>
      </c>
      <c r="B26" s="429"/>
      <c r="C26" s="358"/>
      <c r="D26" s="10" t="str">
        <f t="shared" si="0"/>
        <v/>
      </c>
      <c r="E26" s="359"/>
      <c r="F26" s="10"/>
      <c r="G26" s="359"/>
      <c r="H26" s="10" t="str">
        <f>IF(ISNUMBER(E26),IF(ROUNDDOWN(D26/E26,0)&lt;1,NotaDeVenta[[#This Row],[Ancho Tela]]/NotaDeVenta[[#This Row],[Ancho]],ROUND(NotaDeVenta[[#This Row],[Ancho Tela]]/NotaDeVenta[[#This Row],[Ancho]],0)),"")</f>
        <v/>
      </c>
      <c r="I26" s="360" t="str">
        <f t="shared" si="6"/>
        <v/>
      </c>
      <c r="J26" s="367">
        <f t="shared" si="7"/>
        <v>0</v>
      </c>
      <c r="K26" s="361" t="str">
        <f t="shared" si="3"/>
        <v/>
      </c>
      <c r="L26" s="429"/>
      <c r="M26" s="396"/>
      <c r="Z26" s="331"/>
      <c r="AA26" s="177"/>
      <c r="AB26" s="177"/>
      <c r="AC26" s="271"/>
      <c r="AD26" s="125"/>
      <c r="AE26" s="151"/>
      <c r="AJ26" s="326"/>
      <c r="AK26" s="352"/>
    </row>
    <row r="27" spans="1:37" ht="15.75">
      <c r="A27" s="323">
        <v>18</v>
      </c>
      <c r="B27" s="429"/>
      <c r="C27" s="358"/>
      <c r="D27" s="10" t="str">
        <f t="shared" si="0"/>
        <v/>
      </c>
      <c r="E27" s="359"/>
      <c r="F27" s="10"/>
      <c r="G27" s="359"/>
      <c r="H27" s="10" t="str">
        <f>IF(ISNUMBER(E27),IF(ROUNDDOWN(D27/E27,0)&lt;1,NotaDeVenta[[#This Row],[Ancho Tela]]/NotaDeVenta[[#This Row],[Ancho]],ROUND(NotaDeVenta[[#This Row],[Ancho Tela]]/NotaDeVenta[[#This Row],[Ancho]],0)),"")</f>
        <v/>
      </c>
      <c r="I27" s="360" t="str">
        <f t="shared" si="6"/>
        <v/>
      </c>
      <c r="J27" s="367">
        <f t="shared" si="7"/>
        <v>0</v>
      </c>
      <c r="K27" s="361" t="str">
        <f t="shared" si="3"/>
        <v/>
      </c>
      <c r="L27" s="429"/>
      <c r="M27" s="396"/>
      <c r="Z27" s="331"/>
      <c r="AA27" s="177"/>
      <c r="AB27" s="177"/>
      <c r="AC27" s="271"/>
      <c r="AD27" s="125"/>
      <c r="AE27" s="151"/>
      <c r="AJ27" s="326"/>
      <c r="AK27" s="352"/>
    </row>
    <row r="28" spans="1:37" ht="15.75">
      <c r="A28" s="323">
        <v>19</v>
      </c>
      <c r="B28" s="429"/>
      <c r="C28" s="358"/>
      <c r="D28" s="10" t="str">
        <f t="shared" si="0"/>
        <v/>
      </c>
      <c r="E28" s="359"/>
      <c r="F28" s="10"/>
      <c r="G28" s="359"/>
      <c r="H28" s="10" t="str">
        <f>IF(ISNUMBER(E28),IF(ROUNDDOWN(D28/E28,0)&lt;1,NotaDeVenta[[#This Row],[Ancho Tela]]/NotaDeVenta[[#This Row],[Ancho]],ROUND(NotaDeVenta[[#This Row],[Ancho Tela]]/NotaDeVenta[[#This Row],[Ancho]],0)),"")</f>
        <v/>
      </c>
      <c r="I28" s="360" t="str">
        <f t="shared" si="6"/>
        <v/>
      </c>
      <c r="J28" s="367">
        <f t="shared" si="7"/>
        <v>0</v>
      </c>
      <c r="K28" s="361" t="str">
        <f t="shared" si="3"/>
        <v/>
      </c>
      <c r="L28" s="429"/>
      <c r="M28" s="396"/>
      <c r="Z28" s="331"/>
      <c r="AA28" s="177"/>
      <c r="AB28" s="177"/>
      <c r="AC28" s="271"/>
      <c r="AD28" s="125"/>
      <c r="AE28" s="151"/>
      <c r="AJ28" s="326"/>
      <c r="AK28" s="352"/>
    </row>
    <row r="29" spans="1:37" ht="15.75">
      <c r="A29" s="323">
        <v>20</v>
      </c>
      <c r="B29" s="429"/>
      <c r="C29" s="358"/>
      <c r="D29" s="10" t="str">
        <f t="shared" si="0"/>
        <v/>
      </c>
      <c r="E29" s="359"/>
      <c r="F29" s="10"/>
      <c r="G29" s="359"/>
      <c r="H29" s="10" t="str">
        <f>IF(ISNUMBER(E29),IF(ROUNDDOWN(D29/E29,0)&lt;1,NotaDeVenta[[#This Row],[Ancho Tela]]/NotaDeVenta[[#This Row],[Ancho]],ROUND(NotaDeVenta[[#This Row],[Ancho Tela]]/NotaDeVenta[[#This Row],[Ancho]],0)),"")</f>
        <v/>
      </c>
      <c r="I29" s="360" t="str">
        <f t="shared" si="6"/>
        <v/>
      </c>
      <c r="J29" s="367">
        <f t="shared" si="7"/>
        <v>0</v>
      </c>
      <c r="K29" s="361" t="str">
        <f t="shared" si="3"/>
        <v/>
      </c>
      <c r="L29" s="429"/>
      <c r="M29" s="396"/>
      <c r="Z29" s="331"/>
      <c r="AA29" s="177"/>
      <c r="AB29" s="177"/>
      <c r="AC29" s="271"/>
      <c r="AD29" s="125"/>
      <c r="AE29" s="151"/>
      <c r="AJ29" s="326"/>
      <c r="AK29" s="352"/>
    </row>
    <row r="30" spans="1:37" ht="15.75">
      <c r="A30" s="323">
        <v>21</v>
      </c>
      <c r="B30" s="429"/>
      <c r="C30" s="358"/>
      <c r="D30" s="10" t="str">
        <f t="shared" si="0"/>
        <v/>
      </c>
      <c r="E30" s="359"/>
      <c r="F30" s="10"/>
      <c r="G30" s="359"/>
      <c r="H30" s="10" t="str">
        <f>IF(ISNUMBER(E30),IF(ROUNDDOWN(D30/E30,0)&lt;1,NotaDeVenta[[#This Row],[Ancho Tela]]/NotaDeVenta[[#This Row],[Ancho]],ROUND(NotaDeVenta[[#This Row],[Ancho Tela]]/NotaDeVenta[[#This Row],[Ancho]],0)),"")</f>
        <v/>
      </c>
      <c r="I30" s="360" t="str">
        <f t="shared" si="6"/>
        <v/>
      </c>
      <c r="J30" s="367">
        <f t="shared" si="7"/>
        <v>0</v>
      </c>
      <c r="K30" s="361" t="str">
        <f t="shared" si="3"/>
        <v/>
      </c>
      <c r="L30" s="429"/>
      <c r="M30" s="396"/>
      <c r="Z30" s="331"/>
      <c r="AA30" s="177"/>
      <c r="AB30" s="177"/>
      <c r="AC30" s="271"/>
      <c r="AD30" s="125"/>
      <c r="AE30" s="151"/>
      <c r="AJ30" s="326"/>
      <c r="AK30" s="352"/>
    </row>
    <row r="31" spans="1:37" ht="15.75">
      <c r="A31" s="323">
        <v>22</v>
      </c>
      <c r="B31" s="429"/>
      <c r="C31" s="358"/>
      <c r="D31" s="10" t="str">
        <f t="shared" si="0"/>
        <v/>
      </c>
      <c r="E31" s="359"/>
      <c r="F31" s="10"/>
      <c r="G31" s="359"/>
      <c r="H31" s="10" t="str">
        <f>IF(ISNUMBER(E31),IF(ROUNDDOWN(D31/E31,0)&lt;1,NotaDeVenta[[#This Row],[Ancho Tela]]/NotaDeVenta[[#This Row],[Ancho]],ROUND(NotaDeVenta[[#This Row],[Ancho Tela]]/NotaDeVenta[[#This Row],[Ancho]],0)),"")</f>
        <v/>
      </c>
      <c r="I31" s="360" t="str">
        <f t="shared" si="6"/>
        <v/>
      </c>
      <c r="J31" s="367">
        <f t="shared" si="7"/>
        <v>0</v>
      </c>
      <c r="K31" s="361" t="str">
        <f t="shared" si="3"/>
        <v/>
      </c>
      <c r="L31" s="429"/>
      <c r="M31" s="396"/>
      <c r="Z31" s="331"/>
      <c r="AA31" s="177"/>
      <c r="AB31" s="177"/>
      <c r="AC31" s="271"/>
      <c r="AD31" s="125"/>
      <c r="AE31" s="151"/>
      <c r="AJ31" s="326"/>
      <c r="AK31" s="352"/>
    </row>
    <row r="32" spans="1:37" ht="15.75">
      <c r="A32" s="323">
        <v>23</v>
      </c>
      <c r="B32" s="429"/>
      <c r="C32" s="358"/>
      <c r="D32" s="10" t="str">
        <f t="shared" si="0"/>
        <v/>
      </c>
      <c r="E32" s="359"/>
      <c r="F32" s="10"/>
      <c r="G32" s="359"/>
      <c r="H32" s="10" t="str">
        <f>IF(ISNUMBER(E32),IF(ROUNDDOWN(D32/E32,0)&lt;1,NotaDeVenta[[#This Row],[Ancho Tela]]/NotaDeVenta[[#This Row],[Ancho]],ROUND(NotaDeVenta[[#This Row],[Ancho Tela]]/NotaDeVenta[[#This Row],[Ancho]],0)),"")</f>
        <v/>
      </c>
      <c r="I32" s="360" t="str">
        <f t="shared" si="6"/>
        <v/>
      </c>
      <c r="J32" s="367">
        <f t="shared" si="7"/>
        <v>0</v>
      </c>
      <c r="K32" s="361" t="str">
        <f t="shared" si="3"/>
        <v/>
      </c>
      <c r="L32" s="429"/>
      <c r="M32" s="396"/>
      <c r="Z32" s="331"/>
      <c r="AA32" s="177"/>
      <c r="AB32" s="177"/>
      <c r="AC32" s="271"/>
      <c r="AD32" s="125"/>
      <c r="AE32" s="151"/>
      <c r="AJ32" s="326"/>
      <c r="AK32" s="352"/>
    </row>
    <row r="33" spans="1:37" ht="15.75">
      <c r="A33" s="323">
        <v>24</v>
      </c>
      <c r="B33" s="429"/>
      <c r="C33" s="358"/>
      <c r="D33" s="10" t="str">
        <f t="shared" si="0"/>
        <v/>
      </c>
      <c r="E33" s="359"/>
      <c r="F33" s="10"/>
      <c r="G33" s="359"/>
      <c r="H33" s="10" t="str">
        <f>IF(ISNUMBER(E33),IF(ROUNDDOWN(D33/E33,0)&lt;1,NotaDeVenta[[#This Row],[Ancho Tela]]/NotaDeVenta[[#This Row],[Ancho]],ROUND(NotaDeVenta[[#This Row],[Ancho Tela]]/NotaDeVenta[[#This Row],[Ancho]],0)),"")</f>
        <v/>
      </c>
      <c r="I33" s="360" t="str">
        <f t="shared" si="4"/>
        <v/>
      </c>
      <c r="J33" s="367">
        <f t="shared" si="5"/>
        <v>0</v>
      </c>
      <c r="K33" s="361" t="str">
        <f t="shared" si="3"/>
        <v/>
      </c>
      <c r="L33" s="429"/>
      <c r="M33" s="396"/>
      <c r="Z33" s="331"/>
      <c r="AA33" s="177"/>
      <c r="AB33" s="177"/>
      <c r="AC33" s="271"/>
      <c r="AD33" s="125"/>
      <c r="AE33" s="151"/>
      <c r="AJ33" s="326"/>
      <c r="AK33" s="352"/>
    </row>
    <row r="34" spans="1:37" ht="15.75">
      <c r="A34" s="323">
        <v>25</v>
      </c>
      <c r="B34" s="429"/>
      <c r="C34" s="358"/>
      <c r="D34" s="10" t="str">
        <f t="shared" si="0"/>
        <v/>
      </c>
      <c r="E34" s="359"/>
      <c r="F34" s="10"/>
      <c r="G34" s="359"/>
      <c r="H34" s="10" t="str">
        <f>IF(ISNUMBER(E34),IF(ROUNDDOWN(D34/E34,0)&lt;1,NotaDeVenta[[#This Row],[Ancho Tela]]/NotaDeVenta[[#This Row],[Ancho]],ROUND(NotaDeVenta[[#This Row],[Ancho Tela]]/NotaDeVenta[[#This Row],[Ancho]],0)),"")</f>
        <v/>
      </c>
      <c r="I34" s="360" t="str">
        <f t="shared" si="4"/>
        <v/>
      </c>
      <c r="J34" s="367">
        <f t="shared" si="5"/>
        <v>0</v>
      </c>
      <c r="K34" s="361" t="str">
        <f t="shared" si="3"/>
        <v/>
      </c>
      <c r="L34" s="429"/>
      <c r="M34" s="396"/>
      <c r="Z34" s="331"/>
      <c r="AA34" s="177"/>
      <c r="AB34" s="177"/>
      <c r="AC34" s="271"/>
      <c r="AD34" s="125"/>
      <c r="AE34" s="151"/>
      <c r="AJ34" s="326"/>
      <c r="AK34" s="352"/>
    </row>
    <row r="35" spans="1:37" ht="15.75">
      <c r="A35" s="323">
        <v>26</v>
      </c>
      <c r="B35" s="429"/>
      <c r="C35" s="358"/>
      <c r="D35" s="10" t="str">
        <f t="shared" si="0"/>
        <v/>
      </c>
      <c r="E35" s="359"/>
      <c r="F35" s="10"/>
      <c r="G35" s="359"/>
      <c r="H35" s="10" t="str">
        <f>IF(ISNUMBER(E35),IF(ROUNDDOWN(D35/E35,0)&lt;1,NotaDeVenta[[#This Row],[Ancho Tela]]/NotaDeVenta[[#This Row],[Ancho]],ROUND(NotaDeVenta[[#This Row],[Ancho Tela]]/NotaDeVenta[[#This Row],[Ancho]],0)),"")</f>
        <v/>
      </c>
      <c r="I35" s="360" t="str">
        <f t="shared" si="4"/>
        <v/>
      </c>
      <c r="J35" s="367">
        <f t="shared" si="5"/>
        <v>0</v>
      </c>
      <c r="K35" s="361" t="str">
        <f t="shared" si="3"/>
        <v/>
      </c>
      <c r="L35" s="429"/>
      <c r="M35" s="396"/>
      <c r="Z35" s="331"/>
      <c r="AA35" s="177"/>
      <c r="AB35" s="177"/>
      <c r="AC35" s="271"/>
      <c r="AD35" s="125"/>
      <c r="AE35" s="151"/>
      <c r="AJ35" s="326"/>
      <c r="AK35" s="352"/>
    </row>
    <row r="36" spans="1:37" ht="15.75">
      <c r="A36" s="323">
        <v>27</v>
      </c>
      <c r="B36" s="429"/>
      <c r="C36" s="358"/>
      <c r="D36" s="10" t="str">
        <f t="shared" si="0"/>
        <v/>
      </c>
      <c r="E36" s="359"/>
      <c r="F36" s="10"/>
      <c r="G36" s="359"/>
      <c r="H36" s="10" t="str">
        <f>IF(ISNUMBER(E36),IF(ROUNDDOWN(D36/E36,0)&lt;1,NotaDeVenta[[#This Row],[Ancho Tela]]/NotaDeVenta[[#This Row],[Ancho]],ROUND(NotaDeVenta[[#This Row],[Ancho Tela]]/NotaDeVenta[[#This Row],[Ancho]],0)),"")</f>
        <v/>
      </c>
      <c r="I36" s="360" t="str">
        <f t="shared" ref="I36:I86" si="8">IF(ISNUMBER(H36),G36/H36,"")</f>
        <v/>
      </c>
      <c r="J36" s="367">
        <f t="shared" ref="J36:J86" si="9">IF(ISNUMBER(G36),IF(OR(B36="Textil Backlight",B36="Caja + Backlight"),E36*F36*G36,F36*I36),0)</f>
        <v>0</v>
      </c>
      <c r="K36" s="361" t="str">
        <f t="shared" si="3"/>
        <v/>
      </c>
      <c r="L36" s="429"/>
      <c r="M36" s="396"/>
      <c r="Z36" s="331"/>
      <c r="AA36" s="177"/>
      <c r="AB36" s="177"/>
      <c r="AC36" s="271"/>
      <c r="AD36" s="125"/>
      <c r="AE36" s="151"/>
      <c r="AJ36" s="326"/>
      <c r="AK36" s="352"/>
    </row>
    <row r="37" spans="1:37" ht="15.75">
      <c r="A37" s="323">
        <v>28</v>
      </c>
      <c r="B37" s="429"/>
      <c r="C37" s="358"/>
      <c r="D37" s="10" t="str">
        <f t="shared" si="0"/>
        <v/>
      </c>
      <c r="E37" s="359"/>
      <c r="F37" s="10"/>
      <c r="G37" s="359"/>
      <c r="H37" s="10" t="str">
        <f>IF(ISNUMBER(E37),IF(ROUNDDOWN(D37/E37,0)&lt;1,NotaDeVenta[[#This Row],[Ancho Tela]]/NotaDeVenta[[#This Row],[Ancho]],ROUND(NotaDeVenta[[#This Row],[Ancho Tela]]/NotaDeVenta[[#This Row],[Ancho]],0)),"")</f>
        <v/>
      </c>
      <c r="I37" s="360" t="str">
        <f t="shared" si="8"/>
        <v/>
      </c>
      <c r="J37" s="367">
        <f t="shared" si="9"/>
        <v>0</v>
      </c>
      <c r="K37" s="361" t="str">
        <f t="shared" si="3"/>
        <v/>
      </c>
      <c r="L37" s="429"/>
      <c r="M37" s="396"/>
      <c r="Z37" s="331"/>
      <c r="AA37" s="177"/>
      <c r="AB37" s="177"/>
      <c r="AC37" s="271"/>
      <c r="AD37" s="125"/>
      <c r="AE37" s="151"/>
      <c r="AJ37" s="326"/>
      <c r="AK37" s="352"/>
    </row>
    <row r="38" spans="1:37" ht="15.75">
      <c r="A38" s="323">
        <v>29</v>
      </c>
      <c r="B38" s="429"/>
      <c r="C38" s="358"/>
      <c r="D38" s="10" t="str">
        <f t="shared" si="0"/>
        <v/>
      </c>
      <c r="E38" s="359"/>
      <c r="F38" s="10"/>
      <c r="G38" s="359"/>
      <c r="H38" s="10" t="str">
        <f>IF(ISNUMBER(E38),IF(ROUNDDOWN(D38/E38,0)&lt;1,NotaDeVenta[[#This Row],[Ancho Tela]]/NotaDeVenta[[#This Row],[Ancho]],ROUND(NotaDeVenta[[#This Row],[Ancho Tela]]/NotaDeVenta[[#This Row],[Ancho]],0)),"")</f>
        <v/>
      </c>
      <c r="I38" s="360" t="str">
        <f t="shared" si="8"/>
        <v/>
      </c>
      <c r="J38" s="367">
        <f t="shared" si="9"/>
        <v>0</v>
      </c>
      <c r="K38" s="361" t="str">
        <f t="shared" si="3"/>
        <v/>
      </c>
      <c r="L38" s="429"/>
      <c r="M38" s="396"/>
      <c r="Z38" s="331"/>
      <c r="AA38" s="177"/>
      <c r="AB38" s="177"/>
      <c r="AC38" s="271"/>
      <c r="AD38" s="125"/>
      <c r="AE38" s="151"/>
      <c r="AJ38" s="326"/>
      <c r="AK38" s="352"/>
    </row>
    <row r="39" spans="1:37" ht="15.75">
      <c r="A39" s="323">
        <v>30</v>
      </c>
      <c r="B39" s="429"/>
      <c r="C39" s="358"/>
      <c r="D39" s="10" t="str">
        <f t="shared" si="0"/>
        <v/>
      </c>
      <c r="E39" s="359"/>
      <c r="F39" s="10"/>
      <c r="G39" s="359"/>
      <c r="H39" s="10" t="str">
        <f>IF(ISNUMBER(E39),IF(ROUNDDOWN(D39/E39,0)&lt;1,NotaDeVenta[[#This Row],[Ancho Tela]]/NotaDeVenta[[#This Row],[Ancho]],ROUND(NotaDeVenta[[#This Row],[Ancho Tela]]/NotaDeVenta[[#This Row],[Ancho]],0)),"")</f>
        <v/>
      </c>
      <c r="I39" s="360" t="str">
        <f t="shared" si="8"/>
        <v/>
      </c>
      <c r="J39" s="367">
        <f t="shared" si="9"/>
        <v>0</v>
      </c>
      <c r="K39" s="361" t="str">
        <f t="shared" si="3"/>
        <v/>
      </c>
      <c r="L39" s="429"/>
      <c r="M39" s="396"/>
      <c r="Z39" s="331"/>
      <c r="AA39" s="177"/>
      <c r="AB39" s="177"/>
      <c r="AC39" s="271"/>
      <c r="AD39" s="125"/>
      <c r="AE39" s="151"/>
      <c r="AJ39" s="326"/>
      <c r="AK39" s="352"/>
    </row>
    <row r="40" spans="1:37" ht="15.75">
      <c r="A40" s="323">
        <v>31</v>
      </c>
      <c r="B40" s="429"/>
      <c r="C40" s="358"/>
      <c r="D40" s="10" t="str">
        <f t="shared" si="0"/>
        <v/>
      </c>
      <c r="E40" s="359"/>
      <c r="F40" s="10"/>
      <c r="G40" s="359"/>
      <c r="H40" s="10" t="str">
        <f>IF(ISNUMBER(E40),IF(ROUNDDOWN(D40/E40,0)&lt;1,NotaDeVenta[[#This Row],[Ancho Tela]]/NotaDeVenta[[#This Row],[Ancho]],ROUND(NotaDeVenta[[#This Row],[Ancho Tela]]/NotaDeVenta[[#This Row],[Ancho]],0)),"")</f>
        <v/>
      </c>
      <c r="I40" s="360" t="str">
        <f t="shared" si="8"/>
        <v/>
      </c>
      <c r="J40" s="367">
        <f t="shared" si="9"/>
        <v>0</v>
      </c>
      <c r="K40" s="361" t="str">
        <f t="shared" si="3"/>
        <v/>
      </c>
      <c r="L40" s="429"/>
      <c r="M40" s="396"/>
      <c r="Z40" s="331"/>
      <c r="AA40" s="177"/>
      <c r="AB40" s="177"/>
      <c r="AC40" s="271"/>
      <c r="AD40" s="125"/>
      <c r="AE40" s="151"/>
      <c r="AJ40" s="326"/>
      <c r="AK40" s="352"/>
    </row>
    <row r="41" spans="1:37" ht="15.75">
      <c r="A41" s="323">
        <v>32</v>
      </c>
      <c r="B41" s="429"/>
      <c r="C41" s="358"/>
      <c r="D41" s="10" t="str">
        <f t="shared" si="0"/>
        <v/>
      </c>
      <c r="E41" s="359"/>
      <c r="F41" s="10"/>
      <c r="G41" s="359"/>
      <c r="H41" s="10" t="str">
        <f>IF(ISNUMBER(E41),IF(ROUNDDOWN(D41/E41,0)&lt;1,NotaDeVenta[[#This Row],[Ancho Tela]]/NotaDeVenta[[#This Row],[Ancho]],ROUND(NotaDeVenta[[#This Row],[Ancho Tela]]/NotaDeVenta[[#This Row],[Ancho]],0)),"")</f>
        <v/>
      </c>
      <c r="I41" s="360" t="str">
        <f t="shared" si="8"/>
        <v/>
      </c>
      <c r="J41" s="367">
        <f t="shared" si="9"/>
        <v>0</v>
      </c>
      <c r="K41" s="361" t="str">
        <f t="shared" si="3"/>
        <v/>
      </c>
      <c r="L41" s="429"/>
      <c r="M41" s="396"/>
      <c r="Z41" s="331"/>
      <c r="AA41" s="177"/>
      <c r="AB41" s="177"/>
      <c r="AC41" s="271"/>
      <c r="AD41" s="125"/>
      <c r="AE41" s="151"/>
      <c r="AJ41" s="326"/>
      <c r="AK41" s="352"/>
    </row>
    <row r="42" spans="1:37" ht="15.75">
      <c r="A42" s="323">
        <v>33</v>
      </c>
      <c r="B42" s="429"/>
      <c r="C42" s="358"/>
      <c r="D42" s="10" t="str">
        <f t="shared" ref="D42:D73" si="10">IF(ISTEXT(C42),VLOOKUP(C42,$AC$5:$AE$234,2,FALSE),"")</f>
        <v/>
      </c>
      <c r="E42" s="359"/>
      <c r="F42" s="10"/>
      <c r="G42" s="359"/>
      <c r="H42" s="10" t="str">
        <f>IF(ISNUMBER(E42),IF(ROUNDDOWN(D42/E42,0)&lt;1,NotaDeVenta[[#This Row],[Ancho Tela]]/NotaDeVenta[[#This Row],[Ancho]],ROUND(NotaDeVenta[[#This Row],[Ancho Tela]]/NotaDeVenta[[#This Row],[Ancho]],0)),"")</f>
        <v/>
      </c>
      <c r="I42" s="360" t="str">
        <f t="shared" si="8"/>
        <v/>
      </c>
      <c r="J42" s="367">
        <f t="shared" si="9"/>
        <v>0</v>
      </c>
      <c r="K42" s="361" t="str">
        <f t="shared" ref="K42:K73" si="11">IF(ISTEXT(C42),VLOOKUP(C42,$AC$5:$AE$234,3,FALSE),"")</f>
        <v/>
      </c>
      <c r="L42" s="429"/>
      <c r="M42" s="396"/>
      <c r="Z42" s="331"/>
      <c r="AA42" s="177"/>
      <c r="AB42" s="177"/>
      <c r="AC42" s="271"/>
      <c r="AD42" s="125"/>
      <c r="AE42" s="151"/>
      <c r="AJ42" s="326"/>
      <c r="AK42" s="352"/>
    </row>
    <row r="43" spans="1:37" ht="15.75">
      <c r="A43" s="323">
        <v>34</v>
      </c>
      <c r="B43" s="429"/>
      <c r="C43" s="358"/>
      <c r="D43" s="10" t="str">
        <f t="shared" si="10"/>
        <v/>
      </c>
      <c r="E43" s="359"/>
      <c r="F43" s="10"/>
      <c r="G43" s="359"/>
      <c r="H43" s="10" t="str">
        <f>IF(ISNUMBER(E43),IF(ROUNDDOWN(D43/E43,0)&lt;1,NotaDeVenta[[#This Row],[Ancho Tela]]/NotaDeVenta[[#This Row],[Ancho]],ROUND(NotaDeVenta[[#This Row],[Ancho Tela]]/NotaDeVenta[[#This Row],[Ancho]],0)),"")</f>
        <v/>
      </c>
      <c r="I43" s="360" t="str">
        <f t="shared" si="8"/>
        <v/>
      </c>
      <c r="J43" s="367">
        <f t="shared" si="9"/>
        <v>0</v>
      </c>
      <c r="K43" s="361" t="str">
        <f t="shared" si="11"/>
        <v/>
      </c>
      <c r="L43" s="429"/>
      <c r="M43" s="396"/>
      <c r="Z43" s="331"/>
      <c r="AA43" s="177"/>
      <c r="AB43" s="177"/>
      <c r="AC43" s="271"/>
      <c r="AD43" s="125"/>
      <c r="AE43" s="151"/>
      <c r="AJ43" s="326"/>
      <c r="AK43" s="352"/>
    </row>
    <row r="44" spans="1:37" ht="15.75">
      <c r="A44" s="323">
        <v>35</v>
      </c>
      <c r="B44" s="429"/>
      <c r="C44" s="358"/>
      <c r="D44" s="10" t="str">
        <f t="shared" si="10"/>
        <v/>
      </c>
      <c r="E44" s="359"/>
      <c r="F44" s="10"/>
      <c r="G44" s="359"/>
      <c r="H44" s="10" t="str">
        <f>IF(ISNUMBER(E44),IF(ROUNDDOWN(D44/E44,0)&lt;1,NotaDeVenta[[#This Row],[Ancho Tela]]/NotaDeVenta[[#This Row],[Ancho]],ROUND(NotaDeVenta[[#This Row],[Ancho Tela]]/NotaDeVenta[[#This Row],[Ancho]],0)),"")</f>
        <v/>
      </c>
      <c r="I44" s="360" t="str">
        <f t="shared" si="8"/>
        <v/>
      </c>
      <c r="J44" s="367">
        <f t="shared" si="9"/>
        <v>0</v>
      </c>
      <c r="K44" s="361" t="str">
        <f t="shared" si="11"/>
        <v/>
      </c>
      <c r="L44" s="429"/>
      <c r="M44" s="396"/>
      <c r="Z44" s="331"/>
      <c r="AA44" s="177"/>
      <c r="AB44" s="177"/>
      <c r="AC44" s="271"/>
      <c r="AD44" s="125"/>
      <c r="AE44" s="151"/>
      <c r="AJ44" s="326"/>
      <c r="AK44" s="352"/>
    </row>
    <row r="45" spans="1:37" ht="15.75">
      <c r="A45" s="323">
        <v>36</v>
      </c>
      <c r="B45" s="429"/>
      <c r="C45" s="358"/>
      <c r="D45" s="10" t="str">
        <f t="shared" si="10"/>
        <v/>
      </c>
      <c r="E45" s="359"/>
      <c r="F45" s="10"/>
      <c r="G45" s="359"/>
      <c r="H45" s="10" t="str">
        <f>IF(ISNUMBER(E45),IF(ROUNDDOWN(D45/E45,0)&lt;1,NotaDeVenta[[#This Row],[Ancho Tela]]/NotaDeVenta[[#This Row],[Ancho]],ROUND(NotaDeVenta[[#This Row],[Ancho Tela]]/NotaDeVenta[[#This Row],[Ancho]],0)),"")</f>
        <v/>
      </c>
      <c r="I45" s="360" t="str">
        <f t="shared" si="8"/>
        <v/>
      </c>
      <c r="J45" s="367">
        <f t="shared" si="9"/>
        <v>0</v>
      </c>
      <c r="K45" s="361" t="str">
        <f t="shared" si="11"/>
        <v/>
      </c>
      <c r="L45" s="429"/>
      <c r="M45" s="396"/>
      <c r="Z45" s="331"/>
      <c r="AA45" s="177"/>
      <c r="AB45" s="177"/>
      <c r="AC45" s="271"/>
      <c r="AD45" s="125"/>
      <c r="AE45" s="151"/>
      <c r="AJ45" s="326"/>
      <c r="AK45" s="352"/>
    </row>
    <row r="46" spans="1:37" ht="15.75">
      <c r="A46" s="323">
        <v>37</v>
      </c>
      <c r="B46" s="429"/>
      <c r="C46" s="358"/>
      <c r="D46" s="10" t="str">
        <f t="shared" si="10"/>
        <v/>
      </c>
      <c r="E46" s="359"/>
      <c r="F46" s="10"/>
      <c r="G46" s="359"/>
      <c r="H46" s="10" t="str">
        <f>IF(ISNUMBER(E46),IF(ROUNDDOWN(D46/E46,0)&lt;1,NotaDeVenta[[#This Row],[Ancho Tela]]/NotaDeVenta[[#This Row],[Ancho]],ROUND(NotaDeVenta[[#This Row],[Ancho Tela]]/NotaDeVenta[[#This Row],[Ancho]],0)),"")</f>
        <v/>
      </c>
      <c r="I46" s="360" t="str">
        <f t="shared" si="8"/>
        <v/>
      </c>
      <c r="J46" s="367">
        <f t="shared" si="9"/>
        <v>0</v>
      </c>
      <c r="K46" s="361" t="str">
        <f t="shared" si="11"/>
        <v/>
      </c>
      <c r="L46" s="429"/>
      <c r="M46" s="396"/>
      <c r="Z46" s="331"/>
      <c r="AA46" s="177"/>
      <c r="AB46" s="177"/>
      <c r="AC46" s="271"/>
      <c r="AD46" s="125"/>
      <c r="AE46" s="151"/>
      <c r="AJ46" s="326"/>
      <c r="AK46" s="352"/>
    </row>
    <row r="47" spans="1:37" ht="15.75">
      <c r="A47" s="323">
        <v>38</v>
      </c>
      <c r="B47" s="429"/>
      <c r="C47" s="358"/>
      <c r="D47" s="10" t="str">
        <f t="shared" si="10"/>
        <v/>
      </c>
      <c r="E47" s="359"/>
      <c r="F47" s="10"/>
      <c r="G47" s="359"/>
      <c r="H47" s="10" t="str">
        <f>IF(ISNUMBER(E47),IF(ROUNDDOWN(D47/E47,0)&lt;1,NotaDeVenta[[#This Row],[Ancho Tela]]/NotaDeVenta[[#This Row],[Ancho]],ROUND(NotaDeVenta[[#This Row],[Ancho Tela]]/NotaDeVenta[[#This Row],[Ancho]],0)),"")</f>
        <v/>
      </c>
      <c r="I47" s="360" t="str">
        <f t="shared" si="8"/>
        <v/>
      </c>
      <c r="J47" s="367">
        <f t="shared" si="9"/>
        <v>0</v>
      </c>
      <c r="K47" s="361" t="str">
        <f t="shared" si="11"/>
        <v/>
      </c>
      <c r="L47" s="429"/>
      <c r="M47" s="396"/>
      <c r="Z47" s="331"/>
      <c r="AA47" s="177"/>
      <c r="AB47" s="177"/>
      <c r="AC47" s="271"/>
      <c r="AD47" s="125"/>
      <c r="AE47" s="151"/>
      <c r="AJ47" s="326"/>
      <c r="AK47" s="352"/>
    </row>
    <row r="48" spans="1:37" ht="15.75">
      <c r="A48" s="323">
        <v>39</v>
      </c>
      <c r="B48" s="429"/>
      <c r="C48" s="358"/>
      <c r="D48" s="10" t="str">
        <f t="shared" si="10"/>
        <v/>
      </c>
      <c r="E48" s="359"/>
      <c r="F48" s="10"/>
      <c r="G48" s="359"/>
      <c r="H48" s="10" t="str">
        <f>IF(ISNUMBER(E48),IF(ROUNDDOWN(D48/E48,0)&lt;1,NotaDeVenta[[#This Row],[Ancho Tela]]/NotaDeVenta[[#This Row],[Ancho]],ROUND(NotaDeVenta[[#This Row],[Ancho Tela]]/NotaDeVenta[[#This Row],[Ancho]],0)),"")</f>
        <v/>
      </c>
      <c r="I48" s="360" t="str">
        <f t="shared" si="8"/>
        <v/>
      </c>
      <c r="J48" s="367">
        <f t="shared" si="9"/>
        <v>0</v>
      </c>
      <c r="K48" s="361" t="str">
        <f t="shared" si="11"/>
        <v/>
      </c>
      <c r="L48" s="429"/>
      <c r="M48" s="396"/>
      <c r="Z48" s="331"/>
      <c r="AA48" s="177"/>
      <c r="AB48" s="177"/>
      <c r="AC48" s="271"/>
      <c r="AD48" s="125"/>
      <c r="AE48" s="151"/>
      <c r="AJ48" s="326"/>
      <c r="AK48" s="352"/>
    </row>
    <row r="49" spans="1:37" ht="15.75">
      <c r="A49" s="323">
        <v>40</v>
      </c>
      <c r="B49" s="429"/>
      <c r="C49" s="358"/>
      <c r="D49" s="10" t="str">
        <f t="shared" si="10"/>
        <v/>
      </c>
      <c r="E49" s="359"/>
      <c r="F49" s="10"/>
      <c r="G49" s="359"/>
      <c r="H49" s="10" t="str">
        <f>IF(ISNUMBER(E49),IF(ROUNDDOWN(D49/E49,0)&lt;1,NotaDeVenta[[#This Row],[Ancho Tela]]/NotaDeVenta[[#This Row],[Ancho]],ROUND(NotaDeVenta[[#This Row],[Ancho Tela]]/NotaDeVenta[[#This Row],[Ancho]],0)),"")</f>
        <v/>
      </c>
      <c r="I49" s="360" t="str">
        <f t="shared" si="8"/>
        <v/>
      </c>
      <c r="J49" s="367">
        <f t="shared" si="9"/>
        <v>0</v>
      </c>
      <c r="K49" s="361" t="str">
        <f t="shared" si="11"/>
        <v/>
      </c>
      <c r="L49" s="429"/>
      <c r="M49" s="396"/>
      <c r="Z49" s="331"/>
      <c r="AA49" s="177"/>
      <c r="AB49" s="177"/>
      <c r="AC49" s="271"/>
      <c r="AD49" s="125"/>
      <c r="AE49" s="151"/>
      <c r="AJ49" s="326"/>
      <c r="AK49" s="352"/>
    </row>
    <row r="50" spans="1:37" ht="15.75">
      <c r="A50" s="323">
        <v>41</v>
      </c>
      <c r="B50" s="429"/>
      <c r="C50" s="358"/>
      <c r="D50" s="10" t="str">
        <f t="shared" si="10"/>
        <v/>
      </c>
      <c r="E50" s="359"/>
      <c r="F50" s="10"/>
      <c r="G50" s="359"/>
      <c r="H50" s="10" t="str">
        <f>IF(ISNUMBER(E50),IF(ROUNDDOWN(D50/E50,0)&lt;1,NotaDeVenta[[#This Row],[Ancho Tela]]/NotaDeVenta[[#This Row],[Ancho]],ROUND(NotaDeVenta[[#This Row],[Ancho Tela]]/NotaDeVenta[[#This Row],[Ancho]],0)),"")</f>
        <v/>
      </c>
      <c r="I50" s="360" t="str">
        <f t="shared" si="8"/>
        <v/>
      </c>
      <c r="J50" s="367">
        <f t="shared" si="9"/>
        <v>0</v>
      </c>
      <c r="K50" s="361" t="str">
        <f t="shared" si="11"/>
        <v/>
      </c>
      <c r="L50" s="429"/>
      <c r="M50" s="396"/>
      <c r="Z50" s="331"/>
      <c r="AA50" s="177"/>
      <c r="AB50" s="177"/>
      <c r="AC50" s="271"/>
      <c r="AD50" s="125"/>
      <c r="AE50" s="151"/>
      <c r="AJ50" s="326"/>
      <c r="AK50" s="352"/>
    </row>
    <row r="51" spans="1:37" ht="15.75">
      <c r="A51" s="323">
        <v>42</v>
      </c>
      <c r="B51" s="429"/>
      <c r="C51" s="358"/>
      <c r="D51" s="10" t="str">
        <f t="shared" si="10"/>
        <v/>
      </c>
      <c r="E51" s="359"/>
      <c r="F51" s="10"/>
      <c r="G51" s="359"/>
      <c r="H51" s="10" t="str">
        <f>IF(ISNUMBER(E51),IF(ROUNDDOWN(D51/E51,0)&lt;1,NotaDeVenta[[#This Row],[Ancho Tela]]/NotaDeVenta[[#This Row],[Ancho]],ROUND(NotaDeVenta[[#This Row],[Ancho Tela]]/NotaDeVenta[[#This Row],[Ancho]],0)),"")</f>
        <v/>
      </c>
      <c r="I51" s="360" t="str">
        <f t="shared" si="8"/>
        <v/>
      </c>
      <c r="J51" s="367">
        <f t="shared" si="9"/>
        <v>0</v>
      </c>
      <c r="K51" s="361" t="str">
        <f t="shared" si="11"/>
        <v/>
      </c>
      <c r="L51" s="429"/>
      <c r="M51" s="396"/>
      <c r="Z51" s="331"/>
      <c r="AA51" s="177"/>
      <c r="AB51" s="177"/>
      <c r="AC51" s="271"/>
      <c r="AD51" s="125"/>
      <c r="AE51" s="151"/>
      <c r="AJ51" s="326"/>
      <c r="AK51" s="352"/>
    </row>
    <row r="52" spans="1:37" ht="15.75">
      <c r="A52" s="323">
        <v>43</v>
      </c>
      <c r="B52" s="429"/>
      <c r="C52" s="358"/>
      <c r="D52" s="10" t="str">
        <f t="shared" si="10"/>
        <v/>
      </c>
      <c r="E52" s="359"/>
      <c r="F52" s="10"/>
      <c r="G52" s="359"/>
      <c r="H52" s="10" t="str">
        <f>IF(ISNUMBER(E52),IF(ROUNDDOWN(D52/E52,0)&lt;1,NotaDeVenta[[#This Row],[Ancho Tela]]/NotaDeVenta[[#This Row],[Ancho]],ROUND(NotaDeVenta[[#This Row],[Ancho Tela]]/NotaDeVenta[[#This Row],[Ancho]],0)),"")</f>
        <v/>
      </c>
      <c r="I52" s="360" t="str">
        <f t="shared" si="8"/>
        <v/>
      </c>
      <c r="J52" s="367">
        <f t="shared" si="9"/>
        <v>0</v>
      </c>
      <c r="K52" s="361" t="str">
        <f t="shared" si="11"/>
        <v/>
      </c>
      <c r="L52" s="429"/>
      <c r="M52" s="396"/>
      <c r="Z52" s="331"/>
      <c r="AA52" s="177"/>
      <c r="AB52" s="177"/>
      <c r="AC52" s="271"/>
      <c r="AD52" s="125"/>
      <c r="AE52" s="151"/>
      <c r="AJ52" s="326"/>
      <c r="AK52" s="352"/>
    </row>
    <row r="53" spans="1:37" ht="15.75">
      <c r="A53" s="323">
        <v>44</v>
      </c>
      <c r="B53" s="429"/>
      <c r="C53" s="358"/>
      <c r="D53" s="10" t="str">
        <f t="shared" si="10"/>
        <v/>
      </c>
      <c r="E53" s="359"/>
      <c r="F53" s="10"/>
      <c r="G53" s="359"/>
      <c r="H53" s="10" t="str">
        <f>IF(ISNUMBER(E53),IF(ROUNDDOWN(D53/E53,0)&lt;1,NotaDeVenta[[#This Row],[Ancho Tela]]/NotaDeVenta[[#This Row],[Ancho]],ROUND(NotaDeVenta[[#This Row],[Ancho Tela]]/NotaDeVenta[[#This Row],[Ancho]],0)),"")</f>
        <v/>
      </c>
      <c r="I53" s="360" t="str">
        <f t="shared" si="8"/>
        <v/>
      </c>
      <c r="J53" s="367">
        <f t="shared" si="9"/>
        <v>0</v>
      </c>
      <c r="K53" s="361" t="str">
        <f t="shared" si="11"/>
        <v/>
      </c>
      <c r="L53" s="429"/>
      <c r="M53" s="396"/>
      <c r="Z53" s="331"/>
      <c r="AA53" s="177"/>
      <c r="AB53" s="177"/>
      <c r="AC53" s="271"/>
      <c r="AD53" s="125"/>
      <c r="AE53" s="151"/>
      <c r="AJ53" s="326"/>
      <c r="AK53" s="352"/>
    </row>
    <row r="54" spans="1:37" ht="15.75">
      <c r="A54" s="323">
        <v>45</v>
      </c>
      <c r="B54" s="429"/>
      <c r="C54" s="358"/>
      <c r="D54" s="10" t="str">
        <f t="shared" si="10"/>
        <v/>
      </c>
      <c r="E54" s="359"/>
      <c r="F54" s="10"/>
      <c r="G54" s="359"/>
      <c r="H54" s="10" t="str">
        <f>IF(ISNUMBER(E54),IF(ROUNDDOWN(D54/E54,0)&lt;1,NotaDeVenta[[#This Row],[Ancho Tela]]/NotaDeVenta[[#This Row],[Ancho]],ROUND(NotaDeVenta[[#This Row],[Ancho Tela]]/NotaDeVenta[[#This Row],[Ancho]],0)),"")</f>
        <v/>
      </c>
      <c r="I54" s="360" t="str">
        <f t="shared" si="8"/>
        <v/>
      </c>
      <c r="J54" s="367">
        <f t="shared" si="9"/>
        <v>0</v>
      </c>
      <c r="K54" s="361" t="str">
        <f t="shared" si="11"/>
        <v/>
      </c>
      <c r="L54" s="429"/>
      <c r="M54" s="396"/>
      <c r="Z54" s="331"/>
      <c r="AA54" s="177"/>
      <c r="AB54" s="177"/>
      <c r="AC54" s="271"/>
      <c r="AD54" s="125"/>
      <c r="AE54" s="151"/>
      <c r="AJ54" s="326"/>
      <c r="AK54" s="352"/>
    </row>
    <row r="55" spans="1:37" ht="15.75">
      <c r="A55" s="323">
        <v>46</v>
      </c>
      <c r="B55" s="429"/>
      <c r="C55" s="358"/>
      <c r="D55" s="10" t="str">
        <f t="shared" si="10"/>
        <v/>
      </c>
      <c r="E55" s="359"/>
      <c r="F55" s="10"/>
      <c r="G55" s="359"/>
      <c r="H55" s="10" t="str">
        <f>IF(ISNUMBER(E55),IF(ROUNDDOWN(D55/E55,0)&lt;1,NotaDeVenta[[#This Row],[Ancho Tela]]/NotaDeVenta[[#This Row],[Ancho]],ROUND(NotaDeVenta[[#This Row],[Ancho Tela]]/NotaDeVenta[[#This Row],[Ancho]],0)),"")</f>
        <v/>
      </c>
      <c r="I55" s="360" t="str">
        <f t="shared" si="8"/>
        <v/>
      </c>
      <c r="J55" s="367">
        <f t="shared" si="9"/>
        <v>0</v>
      </c>
      <c r="K55" s="361" t="str">
        <f t="shared" si="11"/>
        <v/>
      </c>
      <c r="L55" s="429"/>
      <c r="M55" s="396"/>
      <c r="Z55" s="331"/>
      <c r="AA55" s="177"/>
      <c r="AB55" s="177"/>
      <c r="AC55" s="271"/>
      <c r="AD55" s="125"/>
      <c r="AE55" s="151"/>
      <c r="AJ55" s="326"/>
      <c r="AK55" s="352"/>
    </row>
    <row r="56" spans="1:37" ht="15.75">
      <c r="A56" s="323">
        <v>47</v>
      </c>
      <c r="B56" s="429"/>
      <c r="C56" s="358"/>
      <c r="D56" s="10" t="str">
        <f t="shared" si="10"/>
        <v/>
      </c>
      <c r="E56" s="359"/>
      <c r="F56" s="10"/>
      <c r="G56" s="359"/>
      <c r="H56" s="10" t="str">
        <f>IF(ISNUMBER(E56),IF(ROUNDDOWN(D56/E56,0)&lt;1,NotaDeVenta[[#This Row],[Ancho Tela]]/NotaDeVenta[[#This Row],[Ancho]],ROUND(NotaDeVenta[[#This Row],[Ancho Tela]]/NotaDeVenta[[#This Row],[Ancho]],0)),"")</f>
        <v/>
      </c>
      <c r="I56" s="360" t="str">
        <f t="shared" ref="I56:I82" si="12">IF(ISNUMBER(H56),G56/H56,"")</f>
        <v/>
      </c>
      <c r="J56" s="367">
        <f t="shared" ref="J56:J82" si="13">IF(ISNUMBER(G56),IF(OR(B56="Textil Backlight",B56="Caja + Backlight"),E56*F56*G56,F56*I56),0)</f>
        <v>0</v>
      </c>
      <c r="K56" s="361" t="str">
        <f t="shared" si="11"/>
        <v/>
      </c>
      <c r="L56" s="429"/>
      <c r="M56" s="396"/>
      <c r="Z56" s="331"/>
      <c r="AA56" s="177"/>
      <c r="AB56" s="177"/>
      <c r="AC56" s="271"/>
      <c r="AD56" s="125"/>
      <c r="AE56" s="151"/>
      <c r="AJ56" s="326"/>
      <c r="AK56" s="352"/>
    </row>
    <row r="57" spans="1:37" ht="15.75">
      <c r="A57" s="323">
        <v>48</v>
      </c>
      <c r="B57" s="429"/>
      <c r="C57" s="358"/>
      <c r="D57" s="10" t="str">
        <f t="shared" si="10"/>
        <v/>
      </c>
      <c r="E57" s="359"/>
      <c r="F57" s="10"/>
      <c r="G57" s="359"/>
      <c r="H57" s="10" t="str">
        <f>IF(ISNUMBER(E57),IF(ROUNDDOWN(D57/E57,0)&lt;1,NotaDeVenta[[#This Row],[Ancho Tela]]/NotaDeVenta[[#This Row],[Ancho]],ROUND(NotaDeVenta[[#This Row],[Ancho Tela]]/NotaDeVenta[[#This Row],[Ancho]],0)),"")</f>
        <v/>
      </c>
      <c r="I57" s="360" t="str">
        <f t="shared" si="12"/>
        <v/>
      </c>
      <c r="J57" s="367">
        <f t="shared" si="13"/>
        <v>0</v>
      </c>
      <c r="K57" s="361" t="str">
        <f t="shared" si="11"/>
        <v/>
      </c>
      <c r="L57" s="429"/>
      <c r="M57" s="396"/>
      <c r="Z57" s="331"/>
      <c r="AA57" s="177"/>
      <c r="AB57" s="177"/>
      <c r="AC57" s="271"/>
      <c r="AD57" s="125"/>
      <c r="AE57" s="151"/>
      <c r="AJ57" s="326"/>
      <c r="AK57" s="352"/>
    </row>
    <row r="58" spans="1:37" ht="15.75">
      <c r="A58" s="323">
        <v>49</v>
      </c>
      <c r="B58" s="429"/>
      <c r="C58" s="358"/>
      <c r="D58" s="10" t="str">
        <f t="shared" si="10"/>
        <v/>
      </c>
      <c r="E58" s="359"/>
      <c r="F58" s="10"/>
      <c r="G58" s="359"/>
      <c r="H58" s="10" t="str">
        <f>IF(ISNUMBER(E58),IF(ROUNDDOWN(D58/E58,0)&lt;1,NotaDeVenta[[#This Row],[Ancho Tela]]/NotaDeVenta[[#This Row],[Ancho]],ROUND(NotaDeVenta[[#This Row],[Ancho Tela]]/NotaDeVenta[[#This Row],[Ancho]],0)),"")</f>
        <v/>
      </c>
      <c r="I58" s="360" t="str">
        <f t="shared" si="12"/>
        <v/>
      </c>
      <c r="J58" s="367">
        <f t="shared" si="13"/>
        <v>0</v>
      </c>
      <c r="K58" s="361" t="str">
        <f t="shared" si="11"/>
        <v/>
      </c>
      <c r="L58" s="429"/>
      <c r="M58" s="396"/>
      <c r="Z58" s="331"/>
      <c r="AA58" s="177"/>
      <c r="AB58" s="177"/>
      <c r="AC58" s="271"/>
      <c r="AD58" s="125"/>
      <c r="AE58" s="151"/>
      <c r="AJ58" s="326"/>
      <c r="AK58" s="352"/>
    </row>
    <row r="59" spans="1:37" ht="15.75">
      <c r="A59" s="323">
        <v>50</v>
      </c>
      <c r="B59" s="429"/>
      <c r="C59" s="358"/>
      <c r="D59" s="10" t="str">
        <f t="shared" si="10"/>
        <v/>
      </c>
      <c r="E59" s="359"/>
      <c r="F59" s="10"/>
      <c r="G59" s="359"/>
      <c r="H59" s="10" t="str">
        <f>IF(ISNUMBER(E59),IF(ROUNDDOWN(D59/E59,0)&lt;1,NotaDeVenta[[#This Row],[Ancho Tela]]/NotaDeVenta[[#This Row],[Ancho]],ROUND(NotaDeVenta[[#This Row],[Ancho Tela]]/NotaDeVenta[[#This Row],[Ancho]],0)),"")</f>
        <v/>
      </c>
      <c r="I59" s="360" t="str">
        <f t="shared" si="12"/>
        <v/>
      </c>
      <c r="J59" s="367">
        <f t="shared" si="13"/>
        <v>0</v>
      </c>
      <c r="K59" s="361" t="str">
        <f t="shared" si="11"/>
        <v/>
      </c>
      <c r="L59" s="429"/>
      <c r="M59" s="396"/>
      <c r="Z59" s="331"/>
      <c r="AA59" s="177"/>
      <c r="AB59" s="177"/>
      <c r="AC59" s="271"/>
      <c r="AD59" s="125"/>
      <c r="AE59" s="151"/>
      <c r="AJ59" s="326"/>
      <c r="AK59" s="352"/>
    </row>
    <row r="60" spans="1:37" ht="15.75">
      <c r="A60" s="323">
        <v>51</v>
      </c>
      <c r="B60" s="429"/>
      <c r="C60" s="358"/>
      <c r="D60" s="10" t="str">
        <f t="shared" si="10"/>
        <v/>
      </c>
      <c r="E60" s="359"/>
      <c r="F60" s="10"/>
      <c r="G60" s="359"/>
      <c r="H60" s="10" t="str">
        <f>IF(ISNUMBER(E60),IF(ROUNDDOWN(D60/E60,0)&lt;1,NotaDeVenta[[#This Row],[Ancho Tela]]/NotaDeVenta[[#This Row],[Ancho]],ROUND(NotaDeVenta[[#This Row],[Ancho Tela]]/NotaDeVenta[[#This Row],[Ancho]],0)),"")</f>
        <v/>
      </c>
      <c r="I60" s="360" t="str">
        <f t="shared" si="12"/>
        <v/>
      </c>
      <c r="J60" s="367">
        <f t="shared" si="13"/>
        <v>0</v>
      </c>
      <c r="K60" s="361" t="str">
        <f t="shared" si="11"/>
        <v/>
      </c>
      <c r="L60" s="429"/>
      <c r="M60" s="396"/>
      <c r="Z60" s="331"/>
      <c r="AA60" s="177"/>
      <c r="AB60" s="177"/>
      <c r="AC60" s="271"/>
      <c r="AD60" s="125"/>
      <c r="AE60" s="151"/>
      <c r="AJ60" s="326"/>
      <c r="AK60" s="352"/>
    </row>
    <row r="61" spans="1:37" ht="15.75">
      <c r="A61" s="323">
        <v>52</v>
      </c>
      <c r="B61" s="429"/>
      <c r="C61" s="358"/>
      <c r="D61" s="10" t="str">
        <f t="shared" si="10"/>
        <v/>
      </c>
      <c r="E61" s="359"/>
      <c r="F61" s="10"/>
      <c r="G61" s="359"/>
      <c r="H61" s="10" t="str">
        <f>IF(ISNUMBER(E61),IF(ROUNDDOWN(D61/E61,0)&lt;1,NotaDeVenta[[#This Row],[Ancho Tela]]/NotaDeVenta[[#This Row],[Ancho]],ROUND(NotaDeVenta[[#This Row],[Ancho Tela]]/NotaDeVenta[[#This Row],[Ancho]],0)),"")</f>
        <v/>
      </c>
      <c r="I61" s="360" t="str">
        <f t="shared" si="12"/>
        <v/>
      </c>
      <c r="J61" s="367">
        <f t="shared" si="13"/>
        <v>0</v>
      </c>
      <c r="K61" s="361" t="str">
        <f t="shared" si="11"/>
        <v/>
      </c>
      <c r="L61" s="429"/>
      <c r="M61" s="396"/>
      <c r="Z61" s="331"/>
      <c r="AA61" s="177"/>
      <c r="AB61" s="177"/>
      <c r="AC61" s="271"/>
      <c r="AD61" s="125"/>
      <c r="AE61" s="151"/>
      <c r="AJ61" s="326"/>
      <c r="AK61" s="352"/>
    </row>
    <row r="62" spans="1:37" ht="15.75">
      <c r="A62" s="323">
        <v>53</v>
      </c>
      <c r="B62" s="429"/>
      <c r="C62" s="358"/>
      <c r="D62" s="10" t="str">
        <f t="shared" si="10"/>
        <v/>
      </c>
      <c r="E62" s="359"/>
      <c r="F62" s="10"/>
      <c r="G62" s="359"/>
      <c r="H62" s="10" t="str">
        <f>IF(ISNUMBER(E62),IF(ROUNDDOWN(D62/E62,0)&lt;1,NotaDeVenta[[#This Row],[Ancho Tela]]/NotaDeVenta[[#This Row],[Ancho]],ROUND(NotaDeVenta[[#This Row],[Ancho Tela]]/NotaDeVenta[[#This Row],[Ancho]],0)),"")</f>
        <v/>
      </c>
      <c r="I62" s="360" t="str">
        <f t="shared" si="12"/>
        <v/>
      </c>
      <c r="J62" s="367">
        <f t="shared" si="13"/>
        <v>0</v>
      </c>
      <c r="K62" s="361" t="str">
        <f t="shared" si="11"/>
        <v/>
      </c>
      <c r="L62" s="429"/>
      <c r="M62" s="396"/>
      <c r="Z62" s="331"/>
      <c r="AA62" s="177"/>
      <c r="AB62" s="177"/>
      <c r="AC62" s="271"/>
      <c r="AD62" s="125"/>
      <c r="AE62" s="151"/>
      <c r="AJ62" s="326"/>
      <c r="AK62" s="352"/>
    </row>
    <row r="63" spans="1:37" ht="15.75">
      <c r="A63" s="323">
        <v>54</v>
      </c>
      <c r="B63" s="429"/>
      <c r="C63" s="358"/>
      <c r="D63" s="10" t="str">
        <f t="shared" si="10"/>
        <v/>
      </c>
      <c r="E63" s="359"/>
      <c r="F63" s="10"/>
      <c r="G63" s="359"/>
      <c r="H63" s="10" t="str">
        <f>IF(ISNUMBER(E63),IF(ROUNDDOWN(D63/E63,0)&lt;1,NotaDeVenta[[#This Row],[Ancho Tela]]/NotaDeVenta[[#This Row],[Ancho]],ROUND(NotaDeVenta[[#This Row],[Ancho Tela]]/NotaDeVenta[[#This Row],[Ancho]],0)),"")</f>
        <v/>
      </c>
      <c r="I63" s="360" t="str">
        <f t="shared" si="12"/>
        <v/>
      </c>
      <c r="J63" s="367">
        <f t="shared" si="13"/>
        <v>0</v>
      </c>
      <c r="K63" s="361" t="str">
        <f t="shared" si="11"/>
        <v/>
      </c>
      <c r="L63" s="429"/>
      <c r="M63" s="396"/>
      <c r="Z63" s="331"/>
      <c r="AA63" s="177"/>
      <c r="AB63" s="177"/>
      <c r="AC63" s="271"/>
      <c r="AD63" s="125"/>
      <c r="AE63" s="151"/>
      <c r="AJ63" s="326"/>
      <c r="AK63" s="352"/>
    </row>
    <row r="64" spans="1:37" ht="15.75">
      <c r="A64" s="323">
        <v>55</v>
      </c>
      <c r="B64" s="429"/>
      <c r="C64" s="358"/>
      <c r="D64" s="10" t="str">
        <f t="shared" si="10"/>
        <v/>
      </c>
      <c r="E64" s="359"/>
      <c r="F64" s="10"/>
      <c r="G64" s="359"/>
      <c r="H64" s="10" t="str">
        <f>IF(ISNUMBER(E64),IF(ROUNDDOWN(D64/E64,0)&lt;1,NotaDeVenta[[#This Row],[Ancho Tela]]/NotaDeVenta[[#This Row],[Ancho]],ROUND(NotaDeVenta[[#This Row],[Ancho Tela]]/NotaDeVenta[[#This Row],[Ancho]],0)),"")</f>
        <v/>
      </c>
      <c r="I64" s="360" t="str">
        <f t="shared" si="12"/>
        <v/>
      </c>
      <c r="J64" s="367">
        <f t="shared" si="13"/>
        <v>0</v>
      </c>
      <c r="K64" s="361" t="str">
        <f t="shared" si="11"/>
        <v/>
      </c>
      <c r="L64" s="429"/>
      <c r="M64" s="396"/>
      <c r="Z64" s="331"/>
      <c r="AA64" s="177"/>
      <c r="AB64" s="177"/>
      <c r="AC64" s="271"/>
      <c r="AD64" s="125"/>
      <c r="AE64" s="151"/>
      <c r="AJ64" s="326"/>
      <c r="AK64" s="352"/>
    </row>
    <row r="65" spans="1:37" ht="15.75">
      <c r="A65" s="323">
        <v>56</v>
      </c>
      <c r="B65" s="429"/>
      <c r="C65" s="358"/>
      <c r="D65" s="10" t="str">
        <f t="shared" si="10"/>
        <v/>
      </c>
      <c r="E65" s="359"/>
      <c r="F65" s="10"/>
      <c r="G65" s="359"/>
      <c r="H65" s="10" t="str">
        <f>IF(ISNUMBER(E65),IF(ROUNDDOWN(D65/E65,0)&lt;1,NotaDeVenta[[#This Row],[Ancho Tela]]/NotaDeVenta[[#This Row],[Ancho]],ROUND(NotaDeVenta[[#This Row],[Ancho Tela]]/NotaDeVenta[[#This Row],[Ancho]],0)),"")</f>
        <v/>
      </c>
      <c r="I65" s="360" t="str">
        <f t="shared" si="12"/>
        <v/>
      </c>
      <c r="J65" s="367">
        <f t="shared" si="13"/>
        <v>0</v>
      </c>
      <c r="K65" s="361" t="str">
        <f t="shared" si="11"/>
        <v/>
      </c>
      <c r="L65" s="429"/>
      <c r="M65" s="396"/>
      <c r="Z65" s="331"/>
      <c r="AA65" s="177"/>
      <c r="AB65" s="177"/>
      <c r="AC65" s="271"/>
      <c r="AD65" s="125"/>
      <c r="AE65" s="151"/>
      <c r="AJ65" s="326"/>
      <c r="AK65" s="352"/>
    </row>
    <row r="66" spans="1:37" ht="15.75">
      <c r="A66" s="323">
        <v>57</v>
      </c>
      <c r="B66" s="429"/>
      <c r="C66" s="358"/>
      <c r="D66" s="10" t="str">
        <f t="shared" si="10"/>
        <v/>
      </c>
      <c r="E66" s="359"/>
      <c r="F66" s="10"/>
      <c r="G66" s="359"/>
      <c r="H66" s="10" t="str">
        <f>IF(ISNUMBER(E66),IF(ROUNDDOWN(D66/E66,0)&lt;1,NotaDeVenta[[#This Row],[Ancho Tela]]/NotaDeVenta[[#This Row],[Ancho]],ROUND(NotaDeVenta[[#This Row],[Ancho Tela]]/NotaDeVenta[[#This Row],[Ancho]],0)),"")</f>
        <v/>
      </c>
      <c r="I66" s="360" t="str">
        <f t="shared" si="12"/>
        <v/>
      </c>
      <c r="J66" s="367">
        <f t="shared" si="13"/>
        <v>0</v>
      </c>
      <c r="K66" s="361" t="str">
        <f t="shared" si="11"/>
        <v/>
      </c>
      <c r="L66" s="429"/>
      <c r="M66" s="396"/>
      <c r="Z66" s="331"/>
      <c r="AA66" s="177"/>
      <c r="AB66" s="177"/>
      <c r="AC66" s="271"/>
      <c r="AD66" s="125"/>
      <c r="AE66" s="151"/>
      <c r="AJ66" s="326"/>
      <c r="AK66" s="352"/>
    </row>
    <row r="67" spans="1:37" ht="15.75">
      <c r="A67" s="323">
        <v>58</v>
      </c>
      <c r="B67" s="429"/>
      <c r="C67" s="358"/>
      <c r="D67" s="10" t="str">
        <f t="shared" si="10"/>
        <v/>
      </c>
      <c r="E67" s="359"/>
      <c r="F67" s="10"/>
      <c r="G67" s="359"/>
      <c r="H67" s="10" t="str">
        <f>IF(ISNUMBER(E67),IF(ROUNDDOWN(D67/E67,0)&lt;1,NotaDeVenta[[#This Row],[Ancho Tela]]/NotaDeVenta[[#This Row],[Ancho]],ROUND(NotaDeVenta[[#This Row],[Ancho Tela]]/NotaDeVenta[[#This Row],[Ancho]],0)),"")</f>
        <v/>
      </c>
      <c r="I67" s="360" t="str">
        <f t="shared" si="12"/>
        <v/>
      </c>
      <c r="J67" s="367">
        <f t="shared" si="13"/>
        <v>0</v>
      </c>
      <c r="K67" s="361" t="str">
        <f t="shared" si="11"/>
        <v/>
      </c>
      <c r="L67" s="429"/>
      <c r="M67" s="396"/>
      <c r="Z67" s="331"/>
      <c r="AA67" s="177"/>
      <c r="AB67" s="177"/>
      <c r="AC67" s="271"/>
      <c r="AD67" s="125"/>
      <c r="AE67" s="151"/>
      <c r="AJ67" s="326"/>
      <c r="AK67" s="352"/>
    </row>
    <row r="68" spans="1:37" ht="15.75">
      <c r="A68" s="323">
        <v>59</v>
      </c>
      <c r="B68" s="429"/>
      <c r="C68" s="358"/>
      <c r="D68" s="10" t="str">
        <f t="shared" si="10"/>
        <v/>
      </c>
      <c r="E68" s="359"/>
      <c r="F68" s="10"/>
      <c r="G68" s="359"/>
      <c r="H68" s="10" t="str">
        <f>IF(ISNUMBER(E68),IF(ROUNDDOWN(D68/E68,0)&lt;1,NotaDeVenta[[#This Row],[Ancho Tela]]/NotaDeVenta[[#This Row],[Ancho]],ROUND(NotaDeVenta[[#This Row],[Ancho Tela]]/NotaDeVenta[[#This Row],[Ancho]],0)),"")</f>
        <v/>
      </c>
      <c r="I68" s="360" t="str">
        <f t="shared" si="12"/>
        <v/>
      </c>
      <c r="J68" s="367">
        <f t="shared" si="13"/>
        <v>0</v>
      </c>
      <c r="K68" s="361" t="str">
        <f t="shared" si="11"/>
        <v/>
      </c>
      <c r="L68" s="429"/>
      <c r="M68" s="396"/>
      <c r="Z68" s="331"/>
      <c r="AA68" s="177"/>
      <c r="AB68" s="177"/>
      <c r="AC68" s="271"/>
      <c r="AD68" s="125"/>
      <c r="AE68" s="151"/>
      <c r="AJ68" s="326"/>
      <c r="AK68" s="352"/>
    </row>
    <row r="69" spans="1:37" ht="15.75">
      <c r="A69" s="323">
        <v>60</v>
      </c>
      <c r="B69" s="429"/>
      <c r="C69" s="358"/>
      <c r="D69" s="10" t="str">
        <f t="shared" si="10"/>
        <v/>
      </c>
      <c r="E69" s="359"/>
      <c r="F69" s="10"/>
      <c r="G69" s="359"/>
      <c r="H69" s="10" t="str">
        <f>IF(ISNUMBER(E69),IF(ROUNDDOWN(D69/E69,0)&lt;1,NotaDeVenta[[#This Row],[Ancho Tela]]/NotaDeVenta[[#This Row],[Ancho]],ROUND(NotaDeVenta[[#This Row],[Ancho Tela]]/NotaDeVenta[[#This Row],[Ancho]],0)),"")</f>
        <v/>
      </c>
      <c r="I69" s="360" t="str">
        <f t="shared" si="12"/>
        <v/>
      </c>
      <c r="J69" s="367">
        <f t="shared" si="13"/>
        <v>0</v>
      </c>
      <c r="K69" s="361" t="str">
        <f t="shared" si="11"/>
        <v/>
      </c>
      <c r="L69" s="429"/>
      <c r="M69" s="396"/>
      <c r="Z69" s="331"/>
      <c r="AA69" s="177"/>
      <c r="AB69" s="177"/>
      <c r="AC69" s="271"/>
      <c r="AD69" s="125"/>
      <c r="AE69" s="151"/>
      <c r="AJ69" s="326"/>
      <c r="AK69" s="352"/>
    </row>
    <row r="70" spans="1:37" ht="15.75">
      <c r="A70" s="323">
        <v>61</v>
      </c>
      <c r="B70" s="429"/>
      <c r="C70" s="358"/>
      <c r="D70" s="10" t="str">
        <f t="shared" si="10"/>
        <v/>
      </c>
      <c r="E70" s="359"/>
      <c r="F70" s="10"/>
      <c r="G70" s="359"/>
      <c r="H70" s="10" t="str">
        <f>IF(ISNUMBER(E70),IF(ROUNDDOWN(D70/E70,0)&lt;1,NotaDeVenta[[#This Row],[Ancho Tela]]/NotaDeVenta[[#This Row],[Ancho]],ROUND(NotaDeVenta[[#This Row],[Ancho Tela]]/NotaDeVenta[[#This Row],[Ancho]],0)),"")</f>
        <v/>
      </c>
      <c r="I70" s="360" t="str">
        <f t="shared" si="12"/>
        <v/>
      </c>
      <c r="J70" s="367">
        <f t="shared" si="13"/>
        <v>0</v>
      </c>
      <c r="K70" s="361" t="str">
        <f t="shared" si="11"/>
        <v/>
      </c>
      <c r="L70" s="429"/>
      <c r="M70" s="396"/>
      <c r="Z70" s="331"/>
      <c r="AA70" s="177"/>
      <c r="AB70" s="177"/>
      <c r="AC70" s="271"/>
      <c r="AD70" s="125"/>
      <c r="AE70" s="151"/>
      <c r="AJ70" s="326"/>
      <c r="AK70" s="352"/>
    </row>
    <row r="71" spans="1:37" ht="15.75">
      <c r="A71" s="323">
        <v>62</v>
      </c>
      <c r="B71" s="429"/>
      <c r="C71" s="358"/>
      <c r="D71" s="10" t="str">
        <f t="shared" si="10"/>
        <v/>
      </c>
      <c r="E71" s="359"/>
      <c r="F71" s="10"/>
      <c r="G71" s="359"/>
      <c r="H71" s="10" t="str">
        <f>IF(ISNUMBER(E71),IF(ROUNDDOWN(D71/E71,0)&lt;1,NotaDeVenta[[#This Row],[Ancho Tela]]/NotaDeVenta[[#This Row],[Ancho]],ROUND(NotaDeVenta[[#This Row],[Ancho Tela]]/NotaDeVenta[[#This Row],[Ancho]],0)),"")</f>
        <v/>
      </c>
      <c r="I71" s="360" t="str">
        <f t="shared" si="12"/>
        <v/>
      </c>
      <c r="J71" s="367">
        <f t="shared" si="13"/>
        <v>0</v>
      </c>
      <c r="K71" s="361" t="str">
        <f t="shared" si="11"/>
        <v/>
      </c>
      <c r="L71" s="429"/>
      <c r="M71" s="396"/>
      <c r="Z71" s="331"/>
      <c r="AA71" s="177"/>
      <c r="AB71" s="177"/>
      <c r="AC71" s="271"/>
      <c r="AD71" s="125"/>
      <c r="AE71" s="151"/>
      <c r="AJ71" s="326"/>
      <c r="AK71" s="352"/>
    </row>
    <row r="72" spans="1:37" ht="15.75">
      <c r="A72" s="323">
        <v>63</v>
      </c>
      <c r="B72" s="429"/>
      <c r="C72" s="358"/>
      <c r="D72" s="10" t="str">
        <f t="shared" si="10"/>
        <v/>
      </c>
      <c r="E72" s="359"/>
      <c r="F72" s="10"/>
      <c r="G72" s="359"/>
      <c r="H72" s="10" t="str">
        <f>IF(ISNUMBER(E72),IF(ROUNDDOWN(D72/E72,0)&lt;1,NotaDeVenta[[#This Row],[Ancho Tela]]/NotaDeVenta[[#This Row],[Ancho]],ROUND(NotaDeVenta[[#This Row],[Ancho Tela]]/NotaDeVenta[[#This Row],[Ancho]],0)),"")</f>
        <v/>
      </c>
      <c r="I72" s="360" t="str">
        <f t="shared" si="12"/>
        <v/>
      </c>
      <c r="J72" s="367">
        <f t="shared" si="13"/>
        <v>0</v>
      </c>
      <c r="K72" s="361" t="str">
        <f t="shared" si="11"/>
        <v/>
      </c>
      <c r="L72" s="429"/>
      <c r="M72" s="396"/>
      <c r="Z72" s="331"/>
      <c r="AA72" s="177"/>
      <c r="AB72" s="177"/>
      <c r="AC72" s="271"/>
      <c r="AD72" s="125"/>
      <c r="AE72" s="151"/>
      <c r="AJ72" s="326"/>
      <c r="AK72" s="352"/>
    </row>
    <row r="73" spans="1:37" ht="15.75">
      <c r="A73" s="323">
        <v>64</v>
      </c>
      <c r="B73" s="429"/>
      <c r="C73" s="358"/>
      <c r="D73" s="10" t="str">
        <f t="shared" si="10"/>
        <v/>
      </c>
      <c r="E73" s="359"/>
      <c r="F73" s="10"/>
      <c r="G73" s="359"/>
      <c r="H73" s="10" t="str">
        <f>IF(ISNUMBER(E73),IF(ROUNDDOWN(D73/E73,0)&lt;1,NotaDeVenta[[#This Row],[Ancho Tela]]/NotaDeVenta[[#This Row],[Ancho]],ROUND(NotaDeVenta[[#This Row],[Ancho Tela]]/NotaDeVenta[[#This Row],[Ancho]],0)),"")</f>
        <v/>
      </c>
      <c r="I73" s="360" t="str">
        <f t="shared" si="12"/>
        <v/>
      </c>
      <c r="J73" s="367">
        <f t="shared" si="13"/>
        <v>0</v>
      </c>
      <c r="K73" s="361" t="str">
        <f t="shared" si="11"/>
        <v/>
      </c>
      <c r="L73" s="429"/>
      <c r="M73" s="396"/>
      <c r="Z73" s="331"/>
      <c r="AA73" s="177"/>
      <c r="AB73" s="177"/>
      <c r="AC73" s="271"/>
      <c r="AD73" s="125"/>
      <c r="AE73" s="151"/>
      <c r="AJ73" s="326"/>
      <c r="AK73" s="352"/>
    </row>
    <row r="74" spans="1:37" ht="15.75">
      <c r="A74" s="323">
        <v>65</v>
      </c>
      <c r="B74" s="429"/>
      <c r="C74" s="358"/>
      <c r="D74" s="10" t="str">
        <f t="shared" ref="D74:D105" si="14">IF(ISTEXT(C74),VLOOKUP(C74,$AC$5:$AE$234,2,FALSE),"")</f>
        <v/>
      </c>
      <c r="E74" s="359"/>
      <c r="F74" s="10"/>
      <c r="G74" s="359"/>
      <c r="H74" s="10" t="str">
        <f>IF(ISNUMBER(E74),IF(ROUNDDOWN(D74/E74,0)&lt;1,NotaDeVenta[[#This Row],[Ancho Tela]]/NotaDeVenta[[#This Row],[Ancho]],ROUND(NotaDeVenta[[#This Row],[Ancho Tela]]/NotaDeVenta[[#This Row],[Ancho]],0)),"")</f>
        <v/>
      </c>
      <c r="I74" s="360" t="str">
        <f t="shared" si="12"/>
        <v/>
      </c>
      <c r="J74" s="367">
        <f t="shared" si="13"/>
        <v>0</v>
      </c>
      <c r="K74" s="361" t="str">
        <f t="shared" ref="K74:K110" si="15">IF(ISTEXT(C74),VLOOKUP(C74,$AC$5:$AE$234,3,FALSE),"")</f>
        <v/>
      </c>
      <c r="L74" s="429"/>
      <c r="M74" s="396"/>
      <c r="Z74" s="331"/>
      <c r="AA74" s="177"/>
      <c r="AB74" s="177"/>
      <c r="AC74" s="271"/>
      <c r="AD74" s="125"/>
      <c r="AE74" s="151"/>
      <c r="AJ74" s="326"/>
      <c r="AK74" s="352"/>
    </row>
    <row r="75" spans="1:37" ht="15.75">
      <c r="A75" s="323">
        <v>66</v>
      </c>
      <c r="B75" s="429"/>
      <c r="C75" s="358"/>
      <c r="D75" s="10" t="str">
        <f t="shared" si="14"/>
        <v/>
      </c>
      <c r="E75" s="359"/>
      <c r="F75" s="10"/>
      <c r="G75" s="359"/>
      <c r="H75" s="10" t="str">
        <f>IF(ISNUMBER(E75),IF(ROUNDDOWN(D75/E75,0)&lt;1,NotaDeVenta[[#This Row],[Ancho Tela]]/NotaDeVenta[[#This Row],[Ancho]],ROUND(NotaDeVenta[[#This Row],[Ancho Tela]]/NotaDeVenta[[#This Row],[Ancho]],0)),"")</f>
        <v/>
      </c>
      <c r="I75" s="360" t="str">
        <f t="shared" si="12"/>
        <v/>
      </c>
      <c r="J75" s="367">
        <f t="shared" si="13"/>
        <v>0</v>
      </c>
      <c r="K75" s="361" t="str">
        <f t="shared" si="15"/>
        <v/>
      </c>
      <c r="L75" s="429"/>
      <c r="M75" s="396"/>
      <c r="Z75" s="331"/>
      <c r="AA75" s="177"/>
      <c r="AB75" s="177"/>
      <c r="AC75" s="271"/>
      <c r="AD75" s="125"/>
      <c r="AE75" s="151"/>
      <c r="AJ75" s="326"/>
      <c r="AK75" s="352"/>
    </row>
    <row r="76" spans="1:37" ht="15.75">
      <c r="A76" s="323">
        <v>67</v>
      </c>
      <c r="B76" s="429"/>
      <c r="C76" s="358"/>
      <c r="D76" s="10" t="str">
        <f t="shared" si="14"/>
        <v/>
      </c>
      <c r="E76" s="359"/>
      <c r="F76" s="10"/>
      <c r="G76" s="359"/>
      <c r="H76" s="10" t="str">
        <f>IF(ISNUMBER(E76),IF(ROUNDDOWN(D76/E76,0)&lt;1,NotaDeVenta[[#This Row],[Ancho Tela]]/NotaDeVenta[[#This Row],[Ancho]],ROUND(NotaDeVenta[[#This Row],[Ancho Tela]]/NotaDeVenta[[#This Row],[Ancho]],0)),"")</f>
        <v/>
      </c>
      <c r="I76" s="360" t="str">
        <f t="shared" si="12"/>
        <v/>
      </c>
      <c r="J76" s="367">
        <f t="shared" si="13"/>
        <v>0</v>
      </c>
      <c r="K76" s="361" t="str">
        <f t="shared" si="15"/>
        <v/>
      </c>
      <c r="L76" s="429"/>
      <c r="M76" s="396"/>
      <c r="Z76" s="331"/>
      <c r="AA76" s="177"/>
      <c r="AB76" s="177"/>
      <c r="AC76" s="271"/>
      <c r="AD76" s="125"/>
      <c r="AE76" s="151"/>
      <c r="AJ76" s="326"/>
      <c r="AK76" s="352"/>
    </row>
    <row r="77" spans="1:37" ht="15.75">
      <c r="A77" s="323">
        <v>68</v>
      </c>
      <c r="B77" s="429"/>
      <c r="C77" s="358"/>
      <c r="D77" s="10" t="str">
        <f t="shared" si="14"/>
        <v/>
      </c>
      <c r="E77" s="359"/>
      <c r="F77" s="10"/>
      <c r="G77" s="359"/>
      <c r="H77" s="10" t="str">
        <f>IF(ISNUMBER(E77),IF(ROUNDDOWN(D77/E77,0)&lt;1,NotaDeVenta[[#This Row],[Ancho Tela]]/NotaDeVenta[[#This Row],[Ancho]],ROUND(NotaDeVenta[[#This Row],[Ancho Tela]]/NotaDeVenta[[#This Row],[Ancho]],0)),"")</f>
        <v/>
      </c>
      <c r="I77" s="360" t="str">
        <f t="shared" si="12"/>
        <v/>
      </c>
      <c r="J77" s="367">
        <f t="shared" si="13"/>
        <v>0</v>
      </c>
      <c r="K77" s="361" t="str">
        <f t="shared" si="15"/>
        <v/>
      </c>
      <c r="L77" s="429"/>
      <c r="M77" s="396"/>
      <c r="Z77" s="331"/>
      <c r="AA77" s="177"/>
      <c r="AB77" s="177"/>
      <c r="AC77" s="271"/>
      <c r="AD77" s="125"/>
      <c r="AE77" s="151"/>
      <c r="AJ77" s="326"/>
      <c r="AK77" s="352"/>
    </row>
    <row r="78" spans="1:37" ht="15.75">
      <c r="A78" s="323">
        <v>69</v>
      </c>
      <c r="B78" s="429"/>
      <c r="C78" s="358"/>
      <c r="D78" s="10" t="str">
        <f t="shared" si="14"/>
        <v/>
      </c>
      <c r="E78" s="359"/>
      <c r="F78" s="10"/>
      <c r="G78" s="359"/>
      <c r="H78" s="10" t="str">
        <f>IF(ISNUMBER(E78),IF(ROUNDDOWN(D78/E78,0)&lt;1,NotaDeVenta[[#This Row],[Ancho Tela]]/NotaDeVenta[[#This Row],[Ancho]],ROUND(NotaDeVenta[[#This Row],[Ancho Tela]]/NotaDeVenta[[#This Row],[Ancho]],0)),"")</f>
        <v/>
      </c>
      <c r="I78" s="360" t="str">
        <f t="shared" si="12"/>
        <v/>
      </c>
      <c r="J78" s="367">
        <f t="shared" si="13"/>
        <v>0</v>
      </c>
      <c r="K78" s="361" t="str">
        <f t="shared" si="15"/>
        <v/>
      </c>
      <c r="L78" s="429"/>
      <c r="M78" s="396"/>
      <c r="Z78" s="331"/>
      <c r="AA78" s="177"/>
      <c r="AB78" s="177"/>
      <c r="AC78" s="271"/>
      <c r="AD78" s="125"/>
      <c r="AE78" s="151"/>
      <c r="AJ78" s="326"/>
      <c r="AK78" s="352"/>
    </row>
    <row r="79" spans="1:37" ht="15.75">
      <c r="A79" s="323">
        <v>70</v>
      </c>
      <c r="B79" s="429"/>
      <c r="C79" s="358"/>
      <c r="D79" s="10" t="str">
        <f t="shared" si="14"/>
        <v/>
      </c>
      <c r="E79" s="359"/>
      <c r="F79" s="10"/>
      <c r="G79" s="359"/>
      <c r="H79" s="10" t="str">
        <f>IF(ISNUMBER(E79),IF(ROUNDDOWN(D79/E79,0)&lt;1,NotaDeVenta[[#This Row],[Ancho Tela]]/NotaDeVenta[[#This Row],[Ancho]],ROUND(NotaDeVenta[[#This Row],[Ancho Tela]]/NotaDeVenta[[#This Row],[Ancho]],0)),"")</f>
        <v/>
      </c>
      <c r="I79" s="360" t="str">
        <f t="shared" si="12"/>
        <v/>
      </c>
      <c r="J79" s="367">
        <f t="shared" si="13"/>
        <v>0</v>
      </c>
      <c r="K79" s="361" t="str">
        <f t="shared" si="15"/>
        <v/>
      </c>
      <c r="L79" s="429"/>
      <c r="M79" s="396"/>
      <c r="Z79" s="331"/>
      <c r="AA79" s="177"/>
      <c r="AB79" s="177"/>
      <c r="AC79" s="271"/>
      <c r="AD79" s="125"/>
      <c r="AE79" s="151"/>
      <c r="AJ79" s="326"/>
      <c r="AK79" s="352"/>
    </row>
    <row r="80" spans="1:37" ht="15.75">
      <c r="A80" s="323">
        <v>71</v>
      </c>
      <c r="B80" s="429"/>
      <c r="C80" s="358"/>
      <c r="D80" s="10" t="str">
        <f t="shared" si="14"/>
        <v/>
      </c>
      <c r="E80" s="359"/>
      <c r="F80" s="10"/>
      <c r="G80" s="359"/>
      <c r="H80" s="10" t="str">
        <f>IF(ISNUMBER(E80),IF(ROUNDDOWN(D80/E80,0)&lt;1,NotaDeVenta[[#This Row],[Ancho Tela]]/NotaDeVenta[[#This Row],[Ancho]],ROUND(NotaDeVenta[[#This Row],[Ancho Tela]]/NotaDeVenta[[#This Row],[Ancho]],0)),"")</f>
        <v/>
      </c>
      <c r="I80" s="360" t="str">
        <f t="shared" si="12"/>
        <v/>
      </c>
      <c r="J80" s="367">
        <f t="shared" si="13"/>
        <v>0</v>
      </c>
      <c r="K80" s="361" t="str">
        <f t="shared" si="15"/>
        <v/>
      </c>
      <c r="L80" s="429"/>
      <c r="M80" s="396"/>
      <c r="Z80" s="331"/>
      <c r="AA80" s="177"/>
      <c r="AB80" s="177"/>
      <c r="AC80" s="271"/>
      <c r="AD80" s="125"/>
      <c r="AE80" s="151"/>
      <c r="AJ80" s="326"/>
      <c r="AK80" s="352"/>
    </row>
    <row r="81" spans="1:37" ht="15.75">
      <c r="A81" s="323">
        <v>72</v>
      </c>
      <c r="B81" s="429"/>
      <c r="C81" s="358"/>
      <c r="D81" s="10" t="str">
        <f t="shared" si="14"/>
        <v/>
      </c>
      <c r="E81" s="359"/>
      <c r="F81" s="10"/>
      <c r="G81" s="359"/>
      <c r="H81" s="10" t="str">
        <f>IF(ISNUMBER(E81),IF(ROUNDDOWN(D81/E81,0)&lt;1,NotaDeVenta[[#This Row],[Ancho Tela]]/NotaDeVenta[[#This Row],[Ancho]],ROUND(NotaDeVenta[[#This Row],[Ancho Tela]]/NotaDeVenta[[#This Row],[Ancho]],0)),"")</f>
        <v/>
      </c>
      <c r="I81" s="360" t="str">
        <f t="shared" si="12"/>
        <v/>
      </c>
      <c r="J81" s="367">
        <f t="shared" si="13"/>
        <v>0</v>
      </c>
      <c r="K81" s="361" t="str">
        <f t="shared" si="15"/>
        <v/>
      </c>
      <c r="L81" s="429"/>
      <c r="M81" s="396"/>
      <c r="Z81" s="331"/>
      <c r="AA81" s="177"/>
      <c r="AB81" s="177"/>
      <c r="AC81" s="271"/>
      <c r="AD81" s="125"/>
      <c r="AE81" s="151"/>
      <c r="AJ81" s="326"/>
      <c r="AK81" s="352"/>
    </row>
    <row r="82" spans="1:37" ht="15.75">
      <c r="A82" s="323">
        <v>73</v>
      </c>
      <c r="B82" s="429"/>
      <c r="C82" s="358"/>
      <c r="D82" s="10" t="str">
        <f t="shared" si="14"/>
        <v/>
      </c>
      <c r="E82" s="359"/>
      <c r="F82" s="10"/>
      <c r="G82" s="359"/>
      <c r="H82" s="10" t="str">
        <f>IF(ISNUMBER(E82),IF(ROUNDDOWN(D82/E82,0)&lt;1,NotaDeVenta[[#This Row],[Ancho Tela]]/NotaDeVenta[[#This Row],[Ancho]],ROUND(NotaDeVenta[[#This Row],[Ancho Tela]]/NotaDeVenta[[#This Row],[Ancho]],0)),"")</f>
        <v/>
      </c>
      <c r="I82" s="360" t="str">
        <f t="shared" si="12"/>
        <v/>
      </c>
      <c r="J82" s="367">
        <f t="shared" si="13"/>
        <v>0</v>
      </c>
      <c r="K82" s="361" t="str">
        <f t="shared" si="15"/>
        <v/>
      </c>
      <c r="L82" s="429"/>
      <c r="M82" s="396"/>
      <c r="Z82" s="331"/>
      <c r="AA82" s="177"/>
      <c r="AB82" s="177"/>
      <c r="AC82" s="271"/>
      <c r="AD82" s="125"/>
      <c r="AE82" s="151"/>
      <c r="AJ82" s="326"/>
      <c r="AK82" s="352"/>
    </row>
    <row r="83" spans="1:37" ht="15.75">
      <c r="A83" s="323">
        <v>74</v>
      </c>
      <c r="B83" s="429"/>
      <c r="C83" s="358"/>
      <c r="D83" s="10" t="str">
        <f t="shared" si="14"/>
        <v/>
      </c>
      <c r="E83" s="359"/>
      <c r="F83" s="10"/>
      <c r="G83" s="359"/>
      <c r="H83" s="10" t="str">
        <f>IF(ISNUMBER(E83),IF(ROUNDDOWN(D83/E83,0)&lt;1,NotaDeVenta[[#This Row],[Ancho Tela]]/NotaDeVenta[[#This Row],[Ancho]],ROUND(NotaDeVenta[[#This Row],[Ancho Tela]]/NotaDeVenta[[#This Row],[Ancho]],0)),"")</f>
        <v/>
      </c>
      <c r="I83" s="360" t="str">
        <f t="shared" si="8"/>
        <v/>
      </c>
      <c r="J83" s="367">
        <f t="shared" si="9"/>
        <v>0</v>
      </c>
      <c r="K83" s="361" t="str">
        <f t="shared" si="15"/>
        <v/>
      </c>
      <c r="L83" s="429"/>
      <c r="M83" s="396"/>
      <c r="Z83" s="331"/>
      <c r="AA83" s="177"/>
      <c r="AB83" s="177"/>
      <c r="AC83" s="271"/>
      <c r="AD83" s="125"/>
      <c r="AE83" s="151"/>
      <c r="AJ83" s="326"/>
      <c r="AK83" s="352"/>
    </row>
    <row r="84" spans="1:37" ht="15.75">
      <c r="A84" s="323">
        <v>75</v>
      </c>
      <c r="B84" s="429"/>
      <c r="C84" s="358"/>
      <c r="D84" s="10" t="str">
        <f t="shared" si="14"/>
        <v/>
      </c>
      <c r="E84" s="359"/>
      <c r="F84" s="10"/>
      <c r="G84" s="359"/>
      <c r="H84" s="10" t="str">
        <f>IF(ISNUMBER(E84),IF(ROUNDDOWN(D84/E84,0)&lt;1,NotaDeVenta[[#This Row],[Ancho Tela]]/NotaDeVenta[[#This Row],[Ancho]],ROUND(NotaDeVenta[[#This Row],[Ancho Tela]]/NotaDeVenta[[#This Row],[Ancho]],0)),"")</f>
        <v/>
      </c>
      <c r="I84" s="360" t="str">
        <f t="shared" si="8"/>
        <v/>
      </c>
      <c r="J84" s="367">
        <f t="shared" si="9"/>
        <v>0</v>
      </c>
      <c r="K84" s="361" t="str">
        <f t="shared" si="15"/>
        <v/>
      </c>
      <c r="L84" s="429"/>
      <c r="M84" s="396"/>
      <c r="Z84" s="331"/>
      <c r="AA84" s="177"/>
      <c r="AB84" s="177"/>
      <c r="AC84" s="271"/>
      <c r="AD84" s="125"/>
      <c r="AE84" s="151"/>
      <c r="AJ84" s="326"/>
      <c r="AK84" s="352"/>
    </row>
    <row r="85" spans="1:37" ht="15.75">
      <c r="A85" s="323">
        <v>76</v>
      </c>
      <c r="B85" s="429"/>
      <c r="C85" s="358"/>
      <c r="D85" s="10" t="str">
        <f t="shared" si="14"/>
        <v/>
      </c>
      <c r="E85" s="359"/>
      <c r="F85" s="10"/>
      <c r="G85" s="359"/>
      <c r="H85" s="10" t="str">
        <f>IF(ISNUMBER(E85),IF(ROUNDDOWN(D85/E85,0)&lt;1,NotaDeVenta[[#This Row],[Ancho Tela]]/NotaDeVenta[[#This Row],[Ancho]],ROUND(NotaDeVenta[[#This Row],[Ancho Tela]]/NotaDeVenta[[#This Row],[Ancho]],0)),"")</f>
        <v/>
      </c>
      <c r="I85" s="360" t="str">
        <f t="shared" si="8"/>
        <v/>
      </c>
      <c r="J85" s="367">
        <f t="shared" si="9"/>
        <v>0</v>
      </c>
      <c r="K85" s="361" t="str">
        <f t="shared" si="15"/>
        <v/>
      </c>
      <c r="L85" s="429"/>
      <c r="M85" s="396"/>
      <c r="Z85" s="331"/>
      <c r="AA85" s="177"/>
      <c r="AB85" s="177"/>
      <c r="AC85" s="271"/>
      <c r="AD85" s="125"/>
      <c r="AE85" s="151"/>
      <c r="AJ85" s="326"/>
      <c r="AK85" s="352"/>
    </row>
    <row r="86" spans="1:37" ht="15.75">
      <c r="A86" s="323">
        <v>77</v>
      </c>
      <c r="B86" s="429"/>
      <c r="C86" s="358"/>
      <c r="D86" s="10" t="str">
        <f t="shared" si="14"/>
        <v/>
      </c>
      <c r="E86" s="359"/>
      <c r="F86" s="10"/>
      <c r="G86" s="359"/>
      <c r="H86" s="10" t="str">
        <f>IF(ISNUMBER(E86),IF(ROUNDDOWN(D86/E86,0)&lt;1,NotaDeVenta[[#This Row],[Ancho Tela]]/NotaDeVenta[[#This Row],[Ancho]],ROUND(NotaDeVenta[[#This Row],[Ancho Tela]]/NotaDeVenta[[#This Row],[Ancho]],0)),"")</f>
        <v/>
      </c>
      <c r="I86" s="360" t="str">
        <f t="shared" si="8"/>
        <v/>
      </c>
      <c r="J86" s="367">
        <f t="shared" si="9"/>
        <v>0</v>
      </c>
      <c r="K86" s="361" t="str">
        <f t="shared" si="15"/>
        <v/>
      </c>
      <c r="L86" s="429"/>
      <c r="M86" s="396"/>
      <c r="Z86" s="331"/>
      <c r="AA86" s="177"/>
      <c r="AB86" s="177"/>
      <c r="AC86" s="271"/>
      <c r="AD86" s="125"/>
      <c r="AE86" s="151"/>
      <c r="AJ86" s="326"/>
      <c r="AK86" s="352"/>
    </row>
    <row r="87" spans="1:37" ht="15.75">
      <c r="A87" s="323">
        <v>78</v>
      </c>
      <c r="B87" s="429"/>
      <c r="C87" s="358"/>
      <c r="D87" s="10" t="str">
        <f t="shared" si="14"/>
        <v/>
      </c>
      <c r="E87" s="359"/>
      <c r="F87" s="10"/>
      <c r="G87" s="359"/>
      <c r="H87" s="10" t="str">
        <f>IF(ISNUMBER(E87),IF(ROUNDDOWN(D87/E87,0)&lt;1,NotaDeVenta[[#This Row],[Ancho Tela]]/NotaDeVenta[[#This Row],[Ancho]],ROUND(NotaDeVenta[[#This Row],[Ancho Tela]]/NotaDeVenta[[#This Row],[Ancho]],0)),"")</f>
        <v/>
      </c>
      <c r="I87" s="360" t="str">
        <f t="shared" si="4"/>
        <v/>
      </c>
      <c r="J87" s="367">
        <f t="shared" si="5"/>
        <v>0</v>
      </c>
      <c r="K87" s="361" t="str">
        <f t="shared" si="15"/>
        <v/>
      </c>
      <c r="L87" s="429"/>
      <c r="M87" s="396"/>
      <c r="Z87" s="331"/>
      <c r="AA87" s="177"/>
      <c r="AB87" s="177"/>
      <c r="AC87" s="271"/>
      <c r="AD87" s="125"/>
      <c r="AE87" s="151"/>
      <c r="AJ87" s="326"/>
      <c r="AK87" s="352"/>
    </row>
    <row r="88" spans="1:37" ht="15.75">
      <c r="A88" s="323">
        <v>79</v>
      </c>
      <c r="B88" s="429"/>
      <c r="C88" s="358"/>
      <c r="D88" s="10" t="str">
        <f t="shared" si="14"/>
        <v/>
      </c>
      <c r="E88" s="359"/>
      <c r="F88" s="10"/>
      <c r="G88" s="359"/>
      <c r="H88" s="10" t="str">
        <f>IF(ISNUMBER(E88),IF(ROUNDDOWN(D88/E88,0)&lt;1,NotaDeVenta[[#This Row],[Ancho Tela]]/NotaDeVenta[[#This Row],[Ancho]],ROUND(NotaDeVenta[[#This Row],[Ancho Tela]]/NotaDeVenta[[#This Row],[Ancho]],0)),"")</f>
        <v/>
      </c>
      <c r="I88" s="360" t="str">
        <f t="shared" si="4"/>
        <v/>
      </c>
      <c r="J88" s="367">
        <f t="shared" si="5"/>
        <v>0</v>
      </c>
      <c r="K88" s="361" t="str">
        <f t="shared" si="15"/>
        <v/>
      </c>
      <c r="L88" s="429"/>
      <c r="M88" s="396"/>
      <c r="Z88" s="331"/>
      <c r="AA88" s="177"/>
      <c r="AB88" s="177"/>
      <c r="AC88" s="271"/>
      <c r="AD88" s="125"/>
      <c r="AE88" s="151"/>
      <c r="AJ88" s="326"/>
      <c r="AK88" s="352"/>
    </row>
    <row r="89" spans="1:37" ht="15.75">
      <c r="A89" s="323">
        <v>80</v>
      </c>
      <c r="B89" s="429"/>
      <c r="C89" s="358"/>
      <c r="D89" s="10" t="str">
        <f t="shared" si="14"/>
        <v/>
      </c>
      <c r="E89" s="359"/>
      <c r="F89" s="10"/>
      <c r="G89" s="359"/>
      <c r="H89" s="10" t="str">
        <f>IF(ISNUMBER(E89),IF(ROUNDDOWN(D89/E89,0)&lt;1,NotaDeVenta[[#This Row],[Ancho Tela]]/NotaDeVenta[[#This Row],[Ancho]],ROUND(NotaDeVenta[[#This Row],[Ancho Tela]]/NotaDeVenta[[#This Row],[Ancho]],0)),"")</f>
        <v/>
      </c>
      <c r="I89" s="360" t="str">
        <f t="shared" si="4"/>
        <v/>
      </c>
      <c r="J89" s="367">
        <f t="shared" si="5"/>
        <v>0</v>
      </c>
      <c r="K89" s="361" t="str">
        <f t="shared" si="15"/>
        <v/>
      </c>
      <c r="L89" s="429"/>
      <c r="M89" s="396"/>
      <c r="Z89" s="331"/>
      <c r="AA89" s="177"/>
      <c r="AB89" s="177"/>
      <c r="AC89" s="271"/>
      <c r="AD89" s="125"/>
      <c r="AE89" s="151"/>
      <c r="AJ89" s="326"/>
      <c r="AK89" s="352"/>
    </row>
    <row r="90" spans="1:37" ht="15.75">
      <c r="A90" s="323">
        <v>81</v>
      </c>
      <c r="B90" s="429"/>
      <c r="C90" s="358"/>
      <c r="D90" s="10" t="str">
        <f t="shared" si="14"/>
        <v/>
      </c>
      <c r="E90" s="359"/>
      <c r="F90" s="10"/>
      <c r="G90" s="359"/>
      <c r="H90" s="10" t="str">
        <f>IF(ISNUMBER(E90),IF(ROUNDDOWN(D90/E90,0)&lt;1,NotaDeVenta[[#This Row],[Ancho Tela]]/NotaDeVenta[[#This Row],[Ancho]],ROUND(NotaDeVenta[[#This Row],[Ancho Tela]]/NotaDeVenta[[#This Row],[Ancho]],0)),"")</f>
        <v/>
      </c>
      <c r="I90" s="360" t="str">
        <f t="shared" si="4"/>
        <v/>
      </c>
      <c r="J90" s="367">
        <f t="shared" si="5"/>
        <v>0</v>
      </c>
      <c r="K90" s="361" t="str">
        <f t="shared" si="15"/>
        <v/>
      </c>
      <c r="L90" s="429"/>
      <c r="M90" s="396"/>
      <c r="Z90" s="331"/>
      <c r="AA90" s="177"/>
      <c r="AB90" s="177"/>
      <c r="AC90" s="271"/>
      <c r="AD90" s="125"/>
      <c r="AE90" s="151"/>
      <c r="AJ90" s="326"/>
      <c r="AK90" s="352"/>
    </row>
    <row r="91" spans="1:37" ht="15.75">
      <c r="A91" s="323">
        <v>82</v>
      </c>
      <c r="B91" s="429"/>
      <c r="C91" s="358"/>
      <c r="D91" s="10" t="str">
        <f t="shared" si="14"/>
        <v/>
      </c>
      <c r="E91" s="359"/>
      <c r="F91" s="10"/>
      <c r="G91" s="359"/>
      <c r="H91" s="10" t="str">
        <f>IF(ISNUMBER(E91),IF(ROUNDDOWN(D91/E91,0)&lt;1,NotaDeVenta[[#This Row],[Ancho Tela]]/NotaDeVenta[[#This Row],[Ancho]],ROUND(NotaDeVenta[[#This Row],[Ancho Tela]]/NotaDeVenta[[#This Row],[Ancho]],0)),"")</f>
        <v/>
      </c>
      <c r="I91" s="360" t="str">
        <f t="shared" si="4"/>
        <v/>
      </c>
      <c r="J91" s="367">
        <f t="shared" si="5"/>
        <v>0</v>
      </c>
      <c r="K91" s="361" t="str">
        <f t="shared" si="15"/>
        <v/>
      </c>
      <c r="L91" s="429"/>
      <c r="M91" s="396"/>
      <c r="Z91" s="331"/>
      <c r="AA91" s="177"/>
      <c r="AB91" s="177"/>
      <c r="AC91" s="271"/>
      <c r="AD91" s="125"/>
      <c r="AE91" s="151"/>
      <c r="AJ91" s="326"/>
      <c r="AK91" s="352"/>
    </row>
    <row r="92" spans="1:37" ht="15.75">
      <c r="A92" s="323">
        <v>83</v>
      </c>
      <c r="B92" s="429"/>
      <c r="C92" s="358"/>
      <c r="D92" s="10" t="str">
        <f t="shared" si="14"/>
        <v/>
      </c>
      <c r="E92" s="359"/>
      <c r="F92" s="10"/>
      <c r="G92" s="359"/>
      <c r="H92" s="10" t="str">
        <f>IF(ISNUMBER(E92),IF(ROUNDDOWN(D92/E92,0)&lt;1,NotaDeVenta[[#This Row],[Ancho Tela]]/NotaDeVenta[[#This Row],[Ancho]],ROUND(NotaDeVenta[[#This Row],[Ancho Tela]]/NotaDeVenta[[#This Row],[Ancho]],0)),"")</f>
        <v/>
      </c>
      <c r="I92" s="360" t="str">
        <f t="shared" si="1"/>
        <v/>
      </c>
      <c r="J92" s="367">
        <f t="shared" si="2"/>
        <v>0</v>
      </c>
      <c r="K92" s="361" t="str">
        <f t="shared" si="15"/>
        <v/>
      </c>
      <c r="L92" s="429"/>
      <c r="M92" s="396"/>
      <c r="Z92" s="331"/>
      <c r="AA92" s="177"/>
      <c r="AB92" s="177"/>
      <c r="AC92" s="271"/>
      <c r="AD92" s="125"/>
      <c r="AE92" s="151"/>
      <c r="AJ92" s="326"/>
      <c r="AK92" s="352"/>
    </row>
    <row r="93" spans="1:37" ht="15.75">
      <c r="A93" s="323">
        <v>84</v>
      </c>
      <c r="B93" s="429"/>
      <c r="C93" s="358"/>
      <c r="D93" s="10" t="str">
        <f t="shared" si="14"/>
        <v/>
      </c>
      <c r="E93" s="359"/>
      <c r="F93" s="10"/>
      <c r="G93" s="359"/>
      <c r="H93" s="10" t="str">
        <f>IF(ISNUMBER(E93),IF(ROUNDDOWN(D93/E93,0)&lt;1,NotaDeVenta[[#This Row],[Ancho Tela]]/NotaDeVenta[[#This Row],[Ancho]],ROUND(NotaDeVenta[[#This Row],[Ancho Tela]]/NotaDeVenta[[#This Row],[Ancho]],0)),"")</f>
        <v/>
      </c>
      <c r="I93" s="360" t="str">
        <f t="shared" si="1"/>
        <v/>
      </c>
      <c r="J93" s="367">
        <f t="shared" si="2"/>
        <v>0</v>
      </c>
      <c r="K93" s="361" t="str">
        <f t="shared" si="15"/>
        <v/>
      </c>
      <c r="L93" s="429"/>
      <c r="M93" s="396"/>
      <c r="Z93" s="331"/>
      <c r="AA93" s="177"/>
      <c r="AB93" s="177"/>
      <c r="AC93" s="271"/>
      <c r="AD93" s="125"/>
      <c r="AE93" s="151"/>
      <c r="AJ93" s="326"/>
      <c r="AK93" s="352"/>
    </row>
    <row r="94" spans="1:37" ht="15.75">
      <c r="A94" s="323">
        <v>85</v>
      </c>
      <c r="B94" s="429"/>
      <c r="C94" s="358"/>
      <c r="D94" s="10" t="str">
        <f t="shared" si="14"/>
        <v/>
      </c>
      <c r="E94" s="359"/>
      <c r="F94" s="10"/>
      <c r="G94" s="359"/>
      <c r="H94" s="10" t="str">
        <f>IF(ISNUMBER(E94),IF(ROUNDDOWN(D94/E94,0)&lt;1,NotaDeVenta[[#This Row],[Ancho Tela]]/NotaDeVenta[[#This Row],[Ancho]],ROUND(NotaDeVenta[[#This Row],[Ancho Tela]]/NotaDeVenta[[#This Row],[Ancho]],0)),"")</f>
        <v/>
      </c>
      <c r="I94" s="360" t="str">
        <f t="shared" si="1"/>
        <v/>
      </c>
      <c r="J94" s="367">
        <f t="shared" si="2"/>
        <v>0</v>
      </c>
      <c r="K94" s="361" t="str">
        <f t="shared" si="15"/>
        <v/>
      </c>
      <c r="L94" s="429"/>
      <c r="M94" s="396"/>
      <c r="Z94" s="331"/>
      <c r="AA94" s="177"/>
      <c r="AB94" s="177"/>
      <c r="AC94" s="271"/>
      <c r="AD94" s="125"/>
      <c r="AE94" s="151"/>
      <c r="AJ94" s="326"/>
      <c r="AK94" s="352"/>
    </row>
    <row r="95" spans="1:37" ht="15.75">
      <c r="A95" s="323">
        <v>86</v>
      </c>
      <c r="B95" s="429"/>
      <c r="C95" s="358"/>
      <c r="D95" s="10" t="str">
        <f t="shared" si="14"/>
        <v/>
      </c>
      <c r="E95" s="359"/>
      <c r="F95" s="10"/>
      <c r="G95" s="359"/>
      <c r="H95" s="10" t="str">
        <f>IF(ISNUMBER(E95),IF(ROUNDDOWN(D95/E95,0)&lt;1,NotaDeVenta[[#This Row],[Ancho Tela]]/NotaDeVenta[[#This Row],[Ancho]],ROUND(NotaDeVenta[[#This Row],[Ancho Tela]]/NotaDeVenta[[#This Row],[Ancho]],0)),"")</f>
        <v/>
      </c>
      <c r="I95" s="360" t="str">
        <f t="shared" si="1"/>
        <v/>
      </c>
      <c r="J95" s="367">
        <f t="shared" si="2"/>
        <v>0</v>
      </c>
      <c r="K95" s="361" t="str">
        <f t="shared" si="15"/>
        <v/>
      </c>
      <c r="L95" s="429"/>
      <c r="M95" s="396"/>
      <c r="Z95" s="331"/>
      <c r="AA95" s="177"/>
      <c r="AB95" s="177"/>
      <c r="AC95" s="271"/>
      <c r="AD95" s="125"/>
      <c r="AE95" s="151"/>
      <c r="AJ95" s="326"/>
      <c r="AK95" s="352"/>
    </row>
    <row r="96" spans="1:37" ht="15.75">
      <c r="A96" s="323">
        <v>87</v>
      </c>
      <c r="B96" s="429"/>
      <c r="C96" s="358"/>
      <c r="D96" s="10" t="str">
        <f t="shared" si="14"/>
        <v/>
      </c>
      <c r="E96" s="359"/>
      <c r="F96" s="10"/>
      <c r="G96" s="359"/>
      <c r="H96" s="10" t="str">
        <f>IF(ISNUMBER(E96),IF(ROUNDDOWN(D96/E96,0)&lt;1,NotaDeVenta[[#This Row],[Ancho Tela]]/NotaDeVenta[[#This Row],[Ancho]],ROUND(NotaDeVenta[[#This Row],[Ancho Tela]]/NotaDeVenta[[#This Row],[Ancho]],0)),"")</f>
        <v/>
      </c>
      <c r="I96" s="360" t="str">
        <f t="shared" si="1"/>
        <v/>
      </c>
      <c r="J96" s="367">
        <f t="shared" si="2"/>
        <v>0</v>
      </c>
      <c r="K96" s="361" t="str">
        <f t="shared" si="15"/>
        <v/>
      </c>
      <c r="L96" s="429"/>
      <c r="M96" s="396"/>
      <c r="Z96" s="331"/>
      <c r="AA96" s="177"/>
      <c r="AB96" s="177"/>
      <c r="AC96" s="271"/>
      <c r="AD96" s="125"/>
      <c r="AE96" s="151"/>
      <c r="AJ96" s="326"/>
      <c r="AK96" s="352"/>
    </row>
    <row r="97" spans="1:43" ht="15.75">
      <c r="A97" s="323">
        <v>88</v>
      </c>
      <c r="B97" s="429"/>
      <c r="C97" s="358"/>
      <c r="D97" s="10" t="str">
        <f t="shared" si="14"/>
        <v/>
      </c>
      <c r="E97" s="359"/>
      <c r="F97" s="10"/>
      <c r="G97" s="359"/>
      <c r="H97" s="10" t="str">
        <f>IF(ISNUMBER(E97),IF(ROUNDDOWN(D97/E97,0)&lt;1,NotaDeVenta[[#This Row],[Ancho Tela]]/NotaDeVenta[[#This Row],[Ancho]],ROUND(NotaDeVenta[[#This Row],[Ancho Tela]]/NotaDeVenta[[#This Row],[Ancho]],0)),"")</f>
        <v/>
      </c>
      <c r="I97" s="360" t="str">
        <f t="shared" ref="I97:I102" si="16">IF(ISNUMBER(H97),G97/H97,"")</f>
        <v/>
      </c>
      <c r="J97" s="367">
        <f t="shared" ref="J97:J102" si="17">IF(ISNUMBER(G97),IF(OR(B97="Textil Backlight",B97="Caja + Backlight"),E97*F97*G97,F97*I97),0)</f>
        <v>0</v>
      </c>
      <c r="K97" s="361" t="str">
        <f t="shared" si="15"/>
        <v/>
      </c>
      <c r="L97" s="429"/>
      <c r="M97" s="396"/>
      <c r="Z97" s="331"/>
      <c r="AA97" s="177"/>
      <c r="AB97" s="177"/>
      <c r="AC97" s="271"/>
      <c r="AD97" s="125"/>
      <c r="AE97" s="151"/>
      <c r="AJ97" s="326"/>
      <c r="AK97" s="352"/>
    </row>
    <row r="98" spans="1:43" ht="15.75">
      <c r="A98" s="323">
        <v>89</v>
      </c>
      <c r="B98" s="429"/>
      <c r="C98" s="358"/>
      <c r="D98" s="10" t="str">
        <f t="shared" si="14"/>
        <v/>
      </c>
      <c r="E98" s="359"/>
      <c r="F98" s="10"/>
      <c r="G98" s="359"/>
      <c r="H98" s="10" t="str">
        <f>IF(ISNUMBER(E98),IF(ROUNDDOWN(D98/E98,0)&lt;1,NotaDeVenta[[#This Row],[Ancho Tela]]/NotaDeVenta[[#This Row],[Ancho]],ROUND(NotaDeVenta[[#This Row],[Ancho Tela]]/NotaDeVenta[[#This Row],[Ancho]],0)),"")</f>
        <v/>
      </c>
      <c r="I98" s="360" t="str">
        <f t="shared" si="16"/>
        <v/>
      </c>
      <c r="J98" s="367">
        <f t="shared" si="17"/>
        <v>0</v>
      </c>
      <c r="K98" s="361" t="str">
        <f t="shared" si="15"/>
        <v/>
      </c>
      <c r="L98" s="429"/>
      <c r="M98" s="396"/>
      <c r="Z98" s="331"/>
      <c r="AA98" s="177"/>
      <c r="AB98" s="177"/>
      <c r="AC98" s="271"/>
      <c r="AD98" s="125"/>
      <c r="AE98" s="151"/>
      <c r="AJ98" s="326"/>
      <c r="AK98" s="352"/>
    </row>
    <row r="99" spans="1:43" ht="15.75">
      <c r="A99" s="323">
        <v>90</v>
      </c>
      <c r="B99" s="429"/>
      <c r="C99" s="358"/>
      <c r="D99" s="10" t="str">
        <f t="shared" si="14"/>
        <v/>
      </c>
      <c r="E99" s="359"/>
      <c r="F99" s="10"/>
      <c r="G99" s="359"/>
      <c r="H99" s="10" t="str">
        <f>IF(ISNUMBER(E99),IF(ROUNDDOWN(D99/E99,0)&lt;1,NotaDeVenta[[#This Row],[Ancho Tela]]/NotaDeVenta[[#This Row],[Ancho]],ROUND(NotaDeVenta[[#This Row],[Ancho Tela]]/NotaDeVenta[[#This Row],[Ancho]],0)),"")</f>
        <v/>
      </c>
      <c r="I99" s="360" t="str">
        <f t="shared" si="16"/>
        <v/>
      </c>
      <c r="J99" s="367">
        <f t="shared" si="17"/>
        <v>0</v>
      </c>
      <c r="K99" s="361" t="str">
        <f t="shared" si="15"/>
        <v/>
      </c>
      <c r="L99" s="429"/>
      <c r="M99" s="396"/>
      <c r="Z99" s="331"/>
      <c r="AA99" s="177"/>
      <c r="AB99" s="177"/>
      <c r="AC99" s="271"/>
      <c r="AD99" s="125"/>
      <c r="AE99" s="151"/>
      <c r="AJ99" s="326"/>
      <c r="AK99" s="352"/>
    </row>
    <row r="100" spans="1:43" ht="15.75">
      <c r="A100" s="323">
        <v>91</v>
      </c>
      <c r="B100" s="429"/>
      <c r="C100" s="358"/>
      <c r="D100" s="10" t="str">
        <f t="shared" si="14"/>
        <v/>
      </c>
      <c r="E100" s="359"/>
      <c r="F100" s="10"/>
      <c r="G100" s="359"/>
      <c r="H100" s="10" t="str">
        <f>IF(ISNUMBER(E100),IF(ROUNDDOWN(D100/E100,0)&lt;1,NotaDeVenta[[#This Row],[Ancho Tela]]/NotaDeVenta[[#This Row],[Ancho]],ROUND(NotaDeVenta[[#This Row],[Ancho Tela]]/NotaDeVenta[[#This Row],[Ancho]],0)),"")</f>
        <v/>
      </c>
      <c r="I100" s="360" t="str">
        <f t="shared" si="16"/>
        <v/>
      </c>
      <c r="J100" s="367">
        <f t="shared" si="17"/>
        <v>0</v>
      </c>
      <c r="K100" s="361" t="str">
        <f t="shared" si="15"/>
        <v/>
      </c>
      <c r="L100" s="429"/>
      <c r="M100" s="396"/>
      <c r="Z100" s="331"/>
      <c r="AA100" s="177"/>
      <c r="AB100" s="177"/>
      <c r="AC100" s="271"/>
      <c r="AD100" s="125"/>
      <c r="AE100" s="151"/>
      <c r="AJ100" s="326"/>
      <c r="AK100" s="352"/>
    </row>
    <row r="101" spans="1:43" ht="15.75">
      <c r="A101" s="323">
        <v>92</v>
      </c>
      <c r="B101" s="429"/>
      <c r="C101" s="358"/>
      <c r="D101" s="10" t="str">
        <f t="shared" si="14"/>
        <v/>
      </c>
      <c r="E101" s="359"/>
      <c r="F101" s="10"/>
      <c r="G101" s="359"/>
      <c r="H101" s="10" t="str">
        <f>IF(ISNUMBER(E101),IF(ROUNDDOWN(D101/E101,0)&lt;1,NotaDeVenta[[#This Row],[Ancho Tela]]/NotaDeVenta[[#This Row],[Ancho]],ROUND(NotaDeVenta[[#This Row],[Ancho Tela]]/NotaDeVenta[[#This Row],[Ancho]],0)),"")</f>
        <v/>
      </c>
      <c r="I101" s="360" t="str">
        <f t="shared" si="16"/>
        <v/>
      </c>
      <c r="J101" s="367">
        <f t="shared" si="17"/>
        <v>0</v>
      </c>
      <c r="K101" s="361" t="str">
        <f t="shared" si="15"/>
        <v/>
      </c>
      <c r="L101" s="429"/>
      <c r="M101" s="396"/>
      <c r="Z101" s="331"/>
      <c r="AA101" s="177"/>
      <c r="AB101" s="177"/>
      <c r="AC101" s="271"/>
      <c r="AD101" s="125"/>
      <c r="AE101" s="151"/>
      <c r="AJ101" s="326"/>
      <c r="AK101" s="352"/>
    </row>
    <row r="102" spans="1:43" ht="15.75">
      <c r="A102" s="323">
        <v>93</v>
      </c>
      <c r="B102" s="429"/>
      <c r="C102" s="358"/>
      <c r="D102" s="10" t="str">
        <f t="shared" si="14"/>
        <v/>
      </c>
      <c r="E102" s="359"/>
      <c r="F102" s="10"/>
      <c r="G102" s="359"/>
      <c r="H102" s="10" t="str">
        <f>IF(ISNUMBER(E102),IF(ROUNDDOWN(D102/E102,0)&lt;1,NotaDeVenta[[#This Row],[Ancho Tela]]/NotaDeVenta[[#This Row],[Ancho]],ROUND(NotaDeVenta[[#This Row],[Ancho Tela]]/NotaDeVenta[[#This Row],[Ancho]],0)),"")</f>
        <v/>
      </c>
      <c r="I102" s="360" t="str">
        <f t="shared" si="16"/>
        <v/>
      </c>
      <c r="J102" s="367">
        <f t="shared" si="17"/>
        <v>0</v>
      </c>
      <c r="K102" s="361" t="str">
        <f t="shared" si="15"/>
        <v/>
      </c>
      <c r="L102" s="429"/>
      <c r="M102" s="396"/>
      <c r="Z102" s="331"/>
      <c r="AA102" s="177"/>
      <c r="AB102" s="177"/>
      <c r="AC102" s="271"/>
      <c r="AD102" s="125"/>
      <c r="AE102" s="151"/>
      <c r="AJ102" s="326"/>
      <c r="AK102" s="352"/>
    </row>
    <row r="103" spans="1:43" ht="15.75">
      <c r="A103" s="323">
        <v>94</v>
      </c>
      <c r="B103" s="429"/>
      <c r="C103" s="358"/>
      <c r="D103" s="10" t="str">
        <f t="shared" si="14"/>
        <v/>
      </c>
      <c r="E103" s="359"/>
      <c r="F103" s="10"/>
      <c r="G103" s="359"/>
      <c r="H103" s="10" t="str">
        <f>IF(ISNUMBER(E103),IF(ROUNDDOWN(D103/E103,0)&lt;1,NotaDeVenta[[#This Row],[Ancho Tela]]/NotaDeVenta[[#This Row],[Ancho]],ROUND(NotaDeVenta[[#This Row],[Ancho Tela]]/NotaDeVenta[[#This Row],[Ancho]],0)),"")</f>
        <v/>
      </c>
      <c r="I103" s="360" t="str">
        <f t="shared" ref="I103:I110" si="18">IF(ISNUMBER(H103),G103/H103,"")</f>
        <v/>
      </c>
      <c r="J103" s="367">
        <f t="shared" ref="J103:J110" si="19">IF(ISNUMBER(G103),IF(OR(B103="Textil Backlight",B103="Caja + Backlight"),E103*F103*G103,F103*I103),0)</f>
        <v>0</v>
      </c>
      <c r="K103" s="361" t="str">
        <f t="shared" si="15"/>
        <v/>
      </c>
      <c r="L103" s="429"/>
      <c r="Z103" s="328" t="s">
        <v>352</v>
      </c>
      <c r="AA103"/>
      <c r="AB103"/>
      <c r="AC103" s="272" t="s">
        <v>608</v>
      </c>
      <c r="AD103" s="124">
        <v>1.48</v>
      </c>
      <c r="AE103" s="152">
        <v>12000</v>
      </c>
      <c r="AJ103" s="125" t="s">
        <v>352</v>
      </c>
      <c r="AK103" s="352">
        <v>25000</v>
      </c>
      <c r="AQ103" s="323" t="s">
        <v>535</v>
      </c>
    </row>
    <row r="104" spans="1:43" ht="15.75">
      <c r="A104" s="323">
        <v>95</v>
      </c>
      <c r="B104" s="429"/>
      <c r="C104" s="358"/>
      <c r="D104" s="10" t="str">
        <f t="shared" si="14"/>
        <v/>
      </c>
      <c r="E104" s="359"/>
      <c r="F104" s="10"/>
      <c r="G104" s="359"/>
      <c r="H104" s="10" t="str">
        <f>IF(ISNUMBER(E104),IF(ROUNDDOWN(D104/E104,0)&lt;1,NotaDeVenta[[#This Row],[Ancho Tela]]/NotaDeVenta[[#This Row],[Ancho]],ROUND(NotaDeVenta[[#This Row],[Ancho Tela]]/NotaDeVenta[[#This Row],[Ancho]],0)),"")</f>
        <v/>
      </c>
      <c r="I104" s="360" t="str">
        <f t="shared" si="18"/>
        <v/>
      </c>
      <c r="J104" s="367">
        <f t="shared" si="19"/>
        <v>0</v>
      </c>
      <c r="K104" s="361" t="str">
        <f t="shared" si="15"/>
        <v/>
      </c>
      <c r="L104" s="429"/>
      <c r="Z104" s="328" t="s">
        <v>353</v>
      </c>
      <c r="AA104"/>
      <c r="AB104"/>
      <c r="AC104" s="271" t="s">
        <v>580</v>
      </c>
      <c r="AD104" s="125">
        <v>1.48</v>
      </c>
      <c r="AE104" s="151">
        <v>11000</v>
      </c>
      <c r="AJ104" s="125" t="s">
        <v>353</v>
      </c>
      <c r="AK104" s="352">
        <v>5000</v>
      </c>
      <c r="AQ104" s="323" t="s">
        <v>536</v>
      </c>
    </row>
    <row r="105" spans="1:43" ht="15.75">
      <c r="A105" s="323">
        <v>96</v>
      </c>
      <c r="B105" s="429"/>
      <c r="C105" s="358"/>
      <c r="D105" s="10" t="str">
        <f t="shared" si="14"/>
        <v/>
      </c>
      <c r="E105" s="359"/>
      <c r="F105" s="10"/>
      <c r="G105" s="359"/>
      <c r="H105" s="10" t="str">
        <f>IF(ISNUMBER(E105),IF(ROUNDDOWN(D105/E105,0)&lt;1,NotaDeVenta[[#This Row],[Ancho Tela]]/NotaDeVenta[[#This Row],[Ancho]],ROUND(NotaDeVenta[[#This Row],[Ancho Tela]]/NotaDeVenta[[#This Row],[Ancho]],0)),"")</f>
        <v/>
      </c>
      <c r="I105" s="360" t="str">
        <f t="shared" si="18"/>
        <v/>
      </c>
      <c r="J105" s="367">
        <f t="shared" si="19"/>
        <v>0</v>
      </c>
      <c r="K105" s="361" t="str">
        <f t="shared" si="15"/>
        <v/>
      </c>
      <c r="L105" s="429"/>
      <c r="Z105" s="328" t="s">
        <v>354</v>
      </c>
      <c r="AA105"/>
      <c r="AB105"/>
      <c r="AC105" s="272" t="s">
        <v>581</v>
      </c>
      <c r="AD105" s="124">
        <v>1.48</v>
      </c>
      <c r="AE105" s="152">
        <v>11000</v>
      </c>
      <c r="AJ105" s="125" t="s">
        <v>354</v>
      </c>
      <c r="AK105" s="352">
        <v>3500</v>
      </c>
      <c r="AQ105" s="323" t="s">
        <v>432</v>
      </c>
    </row>
    <row r="106" spans="1:43" ht="15.75">
      <c r="A106" s="323">
        <v>97</v>
      </c>
      <c r="B106" s="429"/>
      <c r="C106" s="358"/>
      <c r="D106" s="10" t="str">
        <f t="shared" ref="D106:D110" si="20">IF(ISTEXT(C106),VLOOKUP(C106,$AC$5:$AE$234,2,FALSE),"")</f>
        <v/>
      </c>
      <c r="E106" s="359"/>
      <c r="F106" s="10"/>
      <c r="G106" s="359"/>
      <c r="H106" s="10" t="str">
        <f>IF(ISNUMBER(E106),IF(ROUNDDOWN(D106/E106,0)&lt;1,NotaDeVenta[[#This Row],[Ancho Tela]]/NotaDeVenta[[#This Row],[Ancho]],ROUND(NotaDeVenta[[#This Row],[Ancho Tela]]/NotaDeVenta[[#This Row],[Ancho]],0)),"")</f>
        <v/>
      </c>
      <c r="I106" s="360" t="str">
        <f t="shared" si="18"/>
        <v/>
      </c>
      <c r="J106" s="367">
        <f t="shared" si="19"/>
        <v>0</v>
      </c>
      <c r="K106" s="361" t="str">
        <f t="shared" si="15"/>
        <v/>
      </c>
      <c r="L106" s="429"/>
      <c r="Z106" s="330" t="s">
        <v>355</v>
      </c>
      <c r="AA106" s="334"/>
      <c r="AB106" s="334"/>
      <c r="AC106" s="272" t="s">
        <v>582</v>
      </c>
      <c r="AD106" s="124">
        <v>1.38</v>
      </c>
      <c r="AE106" s="152">
        <v>10000</v>
      </c>
      <c r="AJ106" s="152" t="s">
        <v>355</v>
      </c>
      <c r="AK106" s="352">
        <v>10000</v>
      </c>
      <c r="AQ106" s="323" t="s">
        <v>434</v>
      </c>
    </row>
    <row r="107" spans="1:43" ht="15.75">
      <c r="A107" s="323">
        <v>98</v>
      </c>
      <c r="B107" s="429"/>
      <c r="C107" s="358"/>
      <c r="D107" s="10" t="str">
        <f t="shared" si="20"/>
        <v/>
      </c>
      <c r="E107" s="359"/>
      <c r="F107" s="10"/>
      <c r="G107" s="359"/>
      <c r="H107" s="10" t="str">
        <f>IF(ISNUMBER(E107),IF(ROUNDDOWN(D107/E107,0)&lt;1,NotaDeVenta[[#This Row],[Ancho Tela]]/NotaDeVenta[[#This Row],[Ancho]],ROUND(NotaDeVenta[[#This Row],[Ancho Tela]]/NotaDeVenta[[#This Row],[Ancho]],0)),"")</f>
        <v/>
      </c>
      <c r="I107" s="360" t="str">
        <f t="shared" si="18"/>
        <v/>
      </c>
      <c r="J107" s="367">
        <f t="shared" si="19"/>
        <v>0</v>
      </c>
      <c r="K107" s="361" t="str">
        <f t="shared" si="15"/>
        <v/>
      </c>
      <c r="L107" s="429"/>
      <c r="Z107" s="328" t="s">
        <v>356</v>
      </c>
      <c r="AA107"/>
      <c r="AB107"/>
      <c r="AC107" s="271" t="s">
        <v>583</v>
      </c>
      <c r="AD107" s="125">
        <v>1.38</v>
      </c>
      <c r="AE107" s="151">
        <v>12000</v>
      </c>
      <c r="AJ107" s="125" t="s">
        <v>356</v>
      </c>
      <c r="AK107" s="352">
        <v>2000</v>
      </c>
      <c r="AQ107" s="323" t="s">
        <v>435</v>
      </c>
    </row>
    <row r="108" spans="1:43" ht="15.75">
      <c r="A108" s="323">
        <v>99</v>
      </c>
      <c r="B108" s="429"/>
      <c r="C108" s="358"/>
      <c r="D108" s="10" t="str">
        <f t="shared" si="20"/>
        <v/>
      </c>
      <c r="E108" s="359"/>
      <c r="F108" s="10"/>
      <c r="G108" s="359"/>
      <c r="H108" s="10" t="str">
        <f>IF(ISNUMBER(E108),IF(ROUNDDOWN(D108/E108,0)&lt;1,NotaDeVenta[[#This Row],[Ancho Tela]]/NotaDeVenta[[#This Row],[Ancho]],ROUND(NotaDeVenta[[#This Row],[Ancho Tela]]/NotaDeVenta[[#This Row],[Ancho]],0)),"")</f>
        <v/>
      </c>
      <c r="I108" s="360" t="str">
        <f>IF(ISNUMBER(H108),G108/H108,"")</f>
        <v/>
      </c>
      <c r="J108" s="367">
        <f>IF(ISNUMBER(G108),IF(OR(B108="Textil Backlight",B108="Caja + Backlight"),E108*F108*G108,F108*I108),0)</f>
        <v>0</v>
      </c>
      <c r="K108" s="361" t="str">
        <f t="shared" si="15"/>
        <v/>
      </c>
      <c r="L108" s="429"/>
      <c r="Z108" s="328"/>
      <c r="AA108"/>
      <c r="AB108"/>
      <c r="AC108" s="271"/>
      <c r="AD108" s="125"/>
      <c r="AE108" s="151"/>
      <c r="AJ108" s="125"/>
      <c r="AK108" s="352"/>
    </row>
    <row r="109" spans="1:43" ht="15.75">
      <c r="A109" s="323">
        <v>100</v>
      </c>
      <c r="B109" s="429"/>
      <c r="C109" s="358"/>
      <c r="D109" s="10" t="str">
        <f t="shared" si="20"/>
        <v/>
      </c>
      <c r="E109" s="359"/>
      <c r="F109" s="10"/>
      <c r="G109" s="359"/>
      <c r="H109" s="10" t="str">
        <f>IF(ISNUMBER(E109),IF(ROUNDDOWN(D109/E109,0)&lt;1,NotaDeVenta[[#This Row],[Ancho Tela]]/NotaDeVenta[[#This Row],[Ancho]],ROUND(NotaDeVenta[[#This Row],[Ancho Tela]]/NotaDeVenta[[#This Row],[Ancho]],0)),"")</f>
        <v/>
      </c>
      <c r="I109" s="360" t="str">
        <f>IF(ISNUMBER(H109),G109/H109,"")</f>
        <v/>
      </c>
      <c r="J109" s="367">
        <f>IF(ISNUMBER(G109),IF(OR(B109="Textil Backlight",B109="Caja + Backlight"),E109*F109*G109,F109*I109),0)</f>
        <v>0</v>
      </c>
      <c r="K109" s="361" t="str">
        <f t="shared" si="15"/>
        <v/>
      </c>
      <c r="L109" s="429"/>
      <c r="Z109" s="328"/>
      <c r="AA109"/>
      <c r="AB109"/>
      <c r="AC109" s="271"/>
      <c r="AD109" s="125"/>
      <c r="AE109" s="151"/>
      <c r="AJ109" s="125"/>
      <c r="AK109" s="352"/>
    </row>
    <row r="110" spans="1:43" ht="16.149999999999999" thickBot="1">
      <c r="A110" s="323">
        <v>101</v>
      </c>
      <c r="B110" s="443"/>
      <c r="C110" s="358"/>
      <c r="D110" s="51" t="str">
        <f t="shared" si="20"/>
        <v/>
      </c>
      <c r="E110" s="359"/>
      <c r="F110" s="10"/>
      <c r="G110" s="362"/>
      <c r="H110" s="10" t="str">
        <f>IF(ISNUMBER(E110),IF(ROUNDDOWN(D110/E110,0)&lt;1,NotaDeVenta[[#This Row],[Ancho Tela]]/NotaDeVenta[[#This Row],[Ancho]],ROUND(NotaDeVenta[[#This Row],[Ancho Tela]]/NotaDeVenta[[#This Row],[Ancho]],0)),"")</f>
        <v/>
      </c>
      <c r="I110" s="363" t="str">
        <f t="shared" si="18"/>
        <v/>
      </c>
      <c r="J110" s="367">
        <f t="shared" si="19"/>
        <v>0</v>
      </c>
      <c r="K110" s="368" t="str">
        <f t="shared" si="15"/>
        <v/>
      </c>
      <c r="L110" s="443"/>
      <c r="Z110" s="328" t="s">
        <v>357</v>
      </c>
      <c r="AA110"/>
      <c r="AB110"/>
      <c r="AC110" s="271" t="s">
        <v>584</v>
      </c>
      <c r="AD110" s="125">
        <v>1.38</v>
      </c>
      <c r="AE110" s="151">
        <v>12000</v>
      </c>
      <c r="AJ110" s="125" t="s">
        <v>357</v>
      </c>
      <c r="AK110" s="352">
        <v>3000</v>
      </c>
      <c r="AQ110" s="323" t="s">
        <v>440</v>
      </c>
    </row>
    <row r="111" spans="1:43" ht="16.149999999999999" thickBot="1">
      <c r="B111" s="357"/>
      <c r="D111" s="445"/>
      <c r="G111" s="446" t="str">
        <f>IF(ISNUMBER(G10),SUM(G10:G110),"")</f>
        <v/>
      </c>
      <c r="H111" s="446"/>
      <c r="I111" s="446"/>
      <c r="J111" s="447">
        <f>IF(ISNUMBER(J10),SUM(J10:J110),"")</f>
        <v>0</v>
      </c>
      <c r="Z111" s="328" t="s">
        <v>358</v>
      </c>
      <c r="AA111"/>
      <c r="AB111"/>
      <c r="AC111" s="272" t="s">
        <v>585</v>
      </c>
      <c r="AD111" s="124">
        <v>1.48</v>
      </c>
      <c r="AE111" s="152">
        <v>12000</v>
      </c>
      <c r="AJ111" s="125" t="s">
        <v>358</v>
      </c>
      <c r="AK111" s="352">
        <v>10500</v>
      </c>
      <c r="AQ111" s="323" t="s">
        <v>537</v>
      </c>
    </row>
    <row r="112" spans="1:43" ht="30" customHeight="1" thickBot="1">
      <c r="B112" s="349" t="s">
        <v>620</v>
      </c>
      <c r="C112" s="517"/>
      <c r="D112" s="517"/>
      <c r="E112" s="517"/>
      <c r="F112" s="517"/>
      <c r="G112" s="517"/>
      <c r="H112" s="517"/>
      <c r="I112" s="517"/>
      <c r="J112" s="518"/>
      <c r="Z112" s="328"/>
      <c r="AA112"/>
      <c r="AB112"/>
      <c r="AC112" s="272"/>
      <c r="AD112" s="124"/>
      <c r="AE112" s="152"/>
      <c r="AJ112" s="125"/>
      <c r="AK112" s="352"/>
    </row>
    <row r="113" spans="1:43" ht="30" customHeight="1" thickBot="1">
      <c r="B113" s="349" t="s">
        <v>387</v>
      </c>
      <c r="C113" s="513"/>
      <c r="D113" s="513"/>
      <c r="E113" s="513"/>
      <c r="F113" s="513"/>
      <c r="G113" s="513"/>
      <c r="H113" s="513"/>
      <c r="I113" s="513"/>
      <c r="J113" s="514"/>
      <c r="Z113" s="328" t="s">
        <v>359</v>
      </c>
      <c r="AA113"/>
      <c r="AB113"/>
      <c r="AC113" s="272" t="s">
        <v>586</v>
      </c>
      <c r="AD113" s="124">
        <v>1.48</v>
      </c>
      <c r="AE113" s="152">
        <v>12000</v>
      </c>
      <c r="AJ113" s="125" t="s">
        <v>359</v>
      </c>
      <c r="AK113" s="352">
        <v>6000</v>
      </c>
      <c r="AQ113" s="323" t="s">
        <v>443</v>
      </c>
    </row>
    <row r="114" spans="1:43" ht="30" customHeight="1" thickBot="1">
      <c r="B114" s="350" t="s">
        <v>388</v>
      </c>
      <c r="C114" s="515"/>
      <c r="D114" s="515"/>
      <c r="E114" s="515"/>
      <c r="F114" s="515"/>
      <c r="G114" s="515"/>
      <c r="H114" s="515"/>
      <c r="I114" s="515"/>
      <c r="J114" s="516"/>
      <c r="Z114" s="329" t="s">
        <v>360</v>
      </c>
      <c r="AA114" s="107"/>
      <c r="AB114" s="107"/>
      <c r="AC114" s="271" t="s">
        <v>587</v>
      </c>
      <c r="AD114" s="125">
        <v>1.46</v>
      </c>
      <c r="AE114" s="151">
        <v>12000</v>
      </c>
      <c r="AJ114" s="124" t="s">
        <v>360</v>
      </c>
      <c r="AK114" s="352">
        <v>4000</v>
      </c>
      <c r="AQ114" s="323" t="s">
        <v>446</v>
      </c>
    </row>
    <row r="115" spans="1:43" ht="15.75">
      <c r="B115" s="357"/>
      <c r="I115" s="356"/>
      <c r="Z115" s="328" t="s">
        <v>361</v>
      </c>
      <c r="AA115"/>
      <c r="AB115"/>
      <c r="AC115" s="271" t="s">
        <v>588</v>
      </c>
      <c r="AD115" s="125">
        <v>1.38</v>
      </c>
      <c r="AE115" s="151">
        <v>12800</v>
      </c>
      <c r="AJ115" s="125" t="s">
        <v>361</v>
      </c>
      <c r="AK115" s="352">
        <v>7000</v>
      </c>
      <c r="AQ115" s="323" t="s">
        <v>449</v>
      </c>
    </row>
    <row r="116" spans="1:43" ht="28.9" thickBot="1">
      <c r="B116" s="449" t="s">
        <v>72</v>
      </c>
      <c r="C116" s="450" t="s">
        <v>394</v>
      </c>
      <c r="D116" s="450" t="s">
        <v>399</v>
      </c>
      <c r="E116" s="450" t="s">
        <v>125</v>
      </c>
      <c r="F116" s="450" t="s">
        <v>389</v>
      </c>
      <c r="G116" s="450" t="s">
        <v>390</v>
      </c>
      <c r="H116" s="451" t="s">
        <v>391</v>
      </c>
      <c r="I116" s="450" t="s">
        <v>623</v>
      </c>
      <c r="Z116" s="329" t="s">
        <v>362</v>
      </c>
      <c r="AA116" s="107"/>
      <c r="AB116" s="107"/>
      <c r="AC116" s="272" t="s">
        <v>589</v>
      </c>
      <c r="AD116" s="124">
        <v>1.58</v>
      </c>
      <c r="AE116" s="152">
        <v>8000</v>
      </c>
      <c r="AJ116" s="124" t="s">
        <v>362</v>
      </c>
      <c r="AK116" s="352">
        <v>10000</v>
      </c>
      <c r="AQ116" s="323" t="s">
        <v>451</v>
      </c>
    </row>
    <row r="117" spans="1:43" ht="28.9" thickTop="1">
      <c r="A117" s="323">
        <v>1</v>
      </c>
      <c r="B117" s="448">
        <f t="shared" ref="B117:B148" si="21">B10</f>
        <v>0</v>
      </c>
      <c r="C117" s="365">
        <f>IF(ISNUMBER(K10),J10*K10,0)</f>
        <v>0</v>
      </c>
      <c r="D117" s="364" t="e">
        <f>IF(ISNUMBER(C117),VLOOKUP(B117,Productos!$A$2:$G$111,7,FALSE),0)</f>
        <v>#N/A</v>
      </c>
      <c r="E117" s="364" t="e">
        <f>IF(B117&lt;&gt;"",VLOOKUP(B117,Productos!$A$2:$G$116,6,FALSE),0)</f>
        <v>#N/A</v>
      </c>
      <c r="F117" s="364"/>
      <c r="G117" s="364" t="e">
        <f>IF(B117="Caja + Backlight",'NV CAJAS (BL)'!L27+TablaValoresProducto[[#This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total]]/G10+TablaValoresProducto[[#This Row],[Estructura]]+TablaValoresProducto[[#This Row],[Terminaciones]]+TablaValoresProducto[[#This Row],[Otros x1]],0))</f>
        <v>#DIV/0!</v>
      </c>
      <c r="H117" s="442">
        <f t="shared" ref="H117:H148" si="22">IF(ISNUMBER(G117),G117*G10,0)</f>
        <v>0</v>
      </c>
      <c r="I117" s="365" t="e">
        <f>TablaValoresProducto[[#This Row],[Valor impresion total]]/G10</f>
        <v>#DIV/0!</v>
      </c>
      <c r="Z117" s="330" t="s">
        <v>363</v>
      </c>
      <c r="AA117" s="334"/>
      <c r="AB117" s="334"/>
      <c r="AC117" s="272" t="s">
        <v>628</v>
      </c>
      <c r="AD117" s="124">
        <v>1.48</v>
      </c>
      <c r="AE117" s="152">
        <v>10500</v>
      </c>
      <c r="AJ117" s="152" t="s">
        <v>363</v>
      </c>
      <c r="AK117" s="352">
        <v>15000</v>
      </c>
      <c r="AQ117" s="323" t="s">
        <v>538</v>
      </c>
    </row>
    <row r="118" spans="1:43" ht="15.75">
      <c r="A118" s="323">
        <v>2</v>
      </c>
      <c r="B118" s="448">
        <f t="shared" si="21"/>
        <v>0</v>
      </c>
      <c r="C118" s="365">
        <f t="shared" ref="C118:C148" si="23">IF(ISNUMBER(K11),J11*K11,0)</f>
        <v>0</v>
      </c>
      <c r="D118" s="365" t="e">
        <f>IF(ISNUMBER(C118),VLOOKUP(B118,Productos!$A$2:$G$111,7,FALSE),0)</f>
        <v>#N/A</v>
      </c>
      <c r="E118" s="365" t="e">
        <f>IF(B118&lt;&gt;"",VLOOKUP(B118,Productos!$A$2:$G$116,6,FALSE),0)</f>
        <v>#N/A</v>
      </c>
      <c r="F118" s="365"/>
      <c r="G118" s="365" t="e">
        <f>IF(B118="Caja + Backlight",'NV CAJAS (BL)'!L28+TablaValoresProducto[[#This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total]]/G11+TablaValoresProducto[[#This Row],[Estructura]]+TablaValoresProducto[[#This Row],[Terminaciones]]+TablaValoresProducto[[#This Row],[Otros x1]],0))</f>
        <v>#DIV/0!</v>
      </c>
      <c r="H118" s="442">
        <f t="shared" si="22"/>
        <v>0</v>
      </c>
      <c r="I118" s="365" t="e">
        <f>TablaValoresProducto[[#This Row],[Valor impresion total]]/G11</f>
        <v>#DIV/0!</v>
      </c>
      <c r="Z118" s="330"/>
      <c r="AA118" s="334"/>
      <c r="AB118" s="334"/>
      <c r="AC118" s="272"/>
      <c r="AD118" s="124"/>
      <c r="AE118" s="152"/>
      <c r="AJ118" s="152"/>
      <c r="AK118" s="352"/>
    </row>
    <row r="119" spans="1:43" ht="15.75">
      <c r="A119" s="323">
        <v>3</v>
      </c>
      <c r="B119" s="448">
        <f t="shared" si="21"/>
        <v>0</v>
      </c>
      <c r="C119" s="365">
        <f t="shared" si="23"/>
        <v>0</v>
      </c>
      <c r="D119" s="365" t="e">
        <f>IF(ISNUMBER(C119),VLOOKUP(B119,Productos!$A$2:$G$111,7,FALSE),0)</f>
        <v>#N/A</v>
      </c>
      <c r="E119" s="365" t="e">
        <f>IF(B119&lt;&gt;"",VLOOKUP(B119,Productos!$A$2:$G$116,6,FALSE),0)</f>
        <v>#N/A</v>
      </c>
      <c r="F119" s="365"/>
      <c r="G119" s="365" t="e">
        <f>IF(B119="Caja + Backlight",'NV CAJAS (BL)'!L29+TablaValoresProducto[[#This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total]]/G12+TablaValoresProducto[[#This Row],[Estructura]]+TablaValoresProducto[[#This Row],[Terminaciones]]+TablaValoresProducto[[#This Row],[Otros x1]],0))</f>
        <v>#DIV/0!</v>
      </c>
      <c r="H119" s="442">
        <f t="shared" si="22"/>
        <v>0</v>
      </c>
      <c r="I119" s="365" t="e">
        <f>TablaValoresProducto[[#This Row],[Valor impresion total]]/G12</f>
        <v>#DIV/0!</v>
      </c>
      <c r="Z119" s="330"/>
      <c r="AA119" s="334"/>
      <c r="AB119" s="334"/>
      <c r="AC119" s="272"/>
      <c r="AD119" s="124"/>
      <c r="AE119" s="152"/>
      <c r="AJ119" s="152"/>
      <c r="AK119" s="352"/>
    </row>
    <row r="120" spans="1:43" ht="15.75">
      <c r="A120" s="323">
        <v>4</v>
      </c>
      <c r="B120" s="448">
        <f t="shared" si="21"/>
        <v>0</v>
      </c>
      <c r="C120" s="365">
        <f t="shared" si="23"/>
        <v>0</v>
      </c>
      <c r="D120" s="365" t="e">
        <f>IF(ISNUMBER(C120),VLOOKUP(B120,Productos!$A$2:$G$111,7,FALSE),0)</f>
        <v>#N/A</v>
      </c>
      <c r="E120" s="365" t="e">
        <f>IF(B120&lt;&gt;"",VLOOKUP(B120,Productos!$A$2:$G$116,6,FALSE),0)</f>
        <v>#N/A</v>
      </c>
      <c r="F120" s="365"/>
      <c r="G120" s="365" t="e">
        <f>IF(B120="Caja + Backlight",'NV CAJAS (BL)'!L30+TablaValoresProducto[[#This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total]]/G13+TablaValoresProducto[[#This Row],[Estructura]]+TablaValoresProducto[[#This Row],[Terminaciones]]+TablaValoresProducto[[#This Row],[Otros x1]],0))</f>
        <v>#DIV/0!</v>
      </c>
      <c r="H120" s="442">
        <f t="shared" si="22"/>
        <v>0</v>
      </c>
      <c r="I120" s="365" t="e">
        <f>TablaValoresProducto[[#This Row],[Valor impresion total]]/G13</f>
        <v>#DIV/0!</v>
      </c>
      <c r="Z120" s="330"/>
      <c r="AA120" s="334"/>
      <c r="AB120" s="334"/>
      <c r="AC120" s="272"/>
      <c r="AD120" s="124"/>
      <c r="AE120" s="152"/>
      <c r="AJ120" s="152"/>
      <c r="AK120" s="352"/>
    </row>
    <row r="121" spans="1:43" ht="15.75">
      <c r="A121" s="323">
        <v>5</v>
      </c>
      <c r="B121" s="448">
        <f t="shared" si="21"/>
        <v>0</v>
      </c>
      <c r="C121" s="365">
        <f t="shared" si="23"/>
        <v>0</v>
      </c>
      <c r="D121" s="365" t="e">
        <f>IF(ISNUMBER(C121),VLOOKUP(B121,Productos!$A$2:$G$111,7,FALSE),0)</f>
        <v>#N/A</v>
      </c>
      <c r="E121" s="365" t="e">
        <f>IF(B121&lt;&gt;"",VLOOKUP(B121,Productos!$A$2:$G$116,6,FALSE),0)</f>
        <v>#N/A</v>
      </c>
      <c r="F121" s="365"/>
      <c r="G121" s="365" t="e">
        <f>IF(B121="Caja + Backlight",'NV CAJAS (BL)'!L31+TablaValoresProducto[[#This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total]]/G14+TablaValoresProducto[[#This Row],[Estructura]]+TablaValoresProducto[[#This Row],[Terminaciones]]+TablaValoresProducto[[#This Row],[Otros x1]],0))</f>
        <v>#DIV/0!</v>
      </c>
      <c r="H121" s="442">
        <f t="shared" si="22"/>
        <v>0</v>
      </c>
      <c r="I121" s="365" t="e">
        <f>TablaValoresProducto[[#This Row],[Valor impresion total]]/G14</f>
        <v>#DIV/0!</v>
      </c>
      <c r="Z121" s="330"/>
      <c r="AA121" s="334"/>
      <c r="AB121" s="334"/>
      <c r="AC121" s="272"/>
      <c r="AD121" s="124"/>
      <c r="AE121" s="152"/>
      <c r="AJ121" s="152"/>
      <c r="AK121" s="352"/>
    </row>
    <row r="122" spans="1:43" ht="15.75">
      <c r="A122" s="323">
        <v>6</v>
      </c>
      <c r="B122" s="448">
        <f t="shared" si="21"/>
        <v>0</v>
      </c>
      <c r="C122" s="365">
        <f t="shared" si="23"/>
        <v>0</v>
      </c>
      <c r="D122" s="365" t="e">
        <f>IF(ISNUMBER(C122),VLOOKUP(B122,Productos!$A$2:$G$111,7,FALSE),0)</f>
        <v>#N/A</v>
      </c>
      <c r="E122" s="365" t="e">
        <f>IF(B122&lt;&gt;"",VLOOKUP(B122,Productos!$A$2:$G$116,6,FALSE),0)</f>
        <v>#N/A</v>
      </c>
      <c r="F122" s="365"/>
      <c r="G122" s="365" t="e">
        <f>IF(B122="Caja + Backlight",'NV CAJAS (BL)'!L32+TablaValoresProducto[[#This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total]]/G15+TablaValoresProducto[[#This Row],[Estructura]]+TablaValoresProducto[[#This Row],[Terminaciones]]+TablaValoresProducto[[#This Row],[Otros x1]],0))</f>
        <v>#DIV/0!</v>
      </c>
      <c r="H122" s="442">
        <f t="shared" si="22"/>
        <v>0</v>
      </c>
      <c r="I122" s="365" t="e">
        <f>TablaValoresProducto[[#This Row],[Valor impresion total]]/G15</f>
        <v>#DIV/0!</v>
      </c>
      <c r="Z122" s="330"/>
      <c r="AA122" s="334"/>
      <c r="AB122" s="334"/>
      <c r="AC122" s="272"/>
      <c r="AD122" s="124"/>
      <c r="AE122" s="152"/>
      <c r="AJ122" s="152"/>
      <c r="AK122" s="352"/>
    </row>
    <row r="123" spans="1:43" ht="15.75">
      <c r="A123" s="323">
        <v>7</v>
      </c>
      <c r="B123" s="448">
        <f t="shared" si="21"/>
        <v>0</v>
      </c>
      <c r="C123" s="365">
        <f t="shared" si="23"/>
        <v>0</v>
      </c>
      <c r="D123" s="365" t="e">
        <f>IF(ISNUMBER(C123),VLOOKUP(B123,Productos!$A$2:$G$111,7,FALSE),0)</f>
        <v>#N/A</v>
      </c>
      <c r="E123" s="365" t="e">
        <f>IF(B123&lt;&gt;"",VLOOKUP(B123,Productos!$A$2:$G$116,6,FALSE),0)</f>
        <v>#N/A</v>
      </c>
      <c r="F123" s="365"/>
      <c r="G123" s="365" t="e">
        <f>IF(B123="Caja + Backlight",'NV CAJAS (BL)'!L33+TablaValoresProducto[[#This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total]]/G16+TablaValoresProducto[[#This Row],[Estructura]]+TablaValoresProducto[[#This Row],[Terminaciones]]+TablaValoresProducto[[#This Row],[Otros x1]],0))</f>
        <v>#DIV/0!</v>
      </c>
      <c r="H123" s="442">
        <f t="shared" si="22"/>
        <v>0</v>
      </c>
      <c r="I123" s="365" t="e">
        <f>TablaValoresProducto[[#This Row],[Valor impresion total]]/G16</f>
        <v>#DIV/0!</v>
      </c>
      <c r="Z123" s="330"/>
      <c r="AA123" s="334"/>
      <c r="AB123" s="334"/>
      <c r="AC123" s="272"/>
      <c r="AD123" s="124"/>
      <c r="AE123" s="152"/>
      <c r="AJ123" s="152"/>
      <c r="AK123" s="352"/>
    </row>
    <row r="124" spans="1:43" ht="15.75">
      <c r="A124" s="323">
        <v>8</v>
      </c>
      <c r="B124" s="448">
        <f t="shared" si="21"/>
        <v>0</v>
      </c>
      <c r="C124" s="365">
        <f t="shared" si="23"/>
        <v>0</v>
      </c>
      <c r="D124" s="365" t="e">
        <f>IF(ISNUMBER(C124),VLOOKUP(B124,Productos!$A$2:$G$111,7,FALSE),0)</f>
        <v>#N/A</v>
      </c>
      <c r="E124" s="365" t="e">
        <f>IF(B124&lt;&gt;"",VLOOKUP(B124,Productos!$A$2:$G$116,6,FALSE),0)</f>
        <v>#N/A</v>
      </c>
      <c r="F124" s="365"/>
      <c r="G124" s="365" t="e">
        <f>IF(B124="Caja + Backlight",'NV CAJAS (BL)'!L34+TablaValoresProducto[[#This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total]]/G17+TablaValoresProducto[[#This Row],[Estructura]]+TablaValoresProducto[[#This Row],[Terminaciones]]+TablaValoresProducto[[#This Row],[Otros x1]],0))</f>
        <v>#DIV/0!</v>
      </c>
      <c r="H124" s="442">
        <f t="shared" si="22"/>
        <v>0</v>
      </c>
      <c r="I124" s="365" t="e">
        <f>TablaValoresProducto[[#This Row],[Valor impresion total]]/G17</f>
        <v>#DIV/0!</v>
      </c>
      <c r="Z124" s="330"/>
      <c r="AA124" s="334"/>
      <c r="AB124" s="334"/>
      <c r="AC124" s="272"/>
      <c r="AD124" s="124"/>
      <c r="AE124" s="152"/>
      <c r="AJ124" s="152"/>
      <c r="AK124" s="352"/>
    </row>
    <row r="125" spans="1:43" ht="15.75">
      <c r="A125" s="323">
        <v>9</v>
      </c>
      <c r="B125" s="448">
        <f t="shared" si="21"/>
        <v>0</v>
      </c>
      <c r="C125" s="365">
        <f t="shared" si="23"/>
        <v>0</v>
      </c>
      <c r="D125" s="365" t="e">
        <f>IF(ISNUMBER(C125),VLOOKUP(B125,Productos!$A$2:$G$111,7,FALSE),0)</f>
        <v>#N/A</v>
      </c>
      <c r="E125" s="365" t="e">
        <f>IF(B125&lt;&gt;"",VLOOKUP(B125,Productos!$A$2:$G$116,6,FALSE),0)</f>
        <v>#N/A</v>
      </c>
      <c r="F125" s="365"/>
      <c r="G125" s="365" t="e">
        <f>IF(B125="Caja + Backlight",'NV CAJAS (BL)'!L35+TablaValoresProducto[[#This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total]]/G18+TablaValoresProducto[[#This Row],[Estructura]]+TablaValoresProducto[[#This Row],[Terminaciones]]+TablaValoresProducto[[#This Row],[Otros x1]],0))</f>
        <v>#DIV/0!</v>
      </c>
      <c r="H125" s="442">
        <f t="shared" si="22"/>
        <v>0</v>
      </c>
      <c r="I125" s="365" t="e">
        <f>TablaValoresProducto[[#This Row],[Valor impresion total]]/G18</f>
        <v>#DIV/0!</v>
      </c>
      <c r="Z125" s="330"/>
      <c r="AA125" s="334"/>
      <c r="AB125" s="334"/>
      <c r="AC125" s="272"/>
      <c r="AD125" s="124"/>
      <c r="AE125" s="152"/>
      <c r="AJ125" s="152"/>
      <c r="AK125" s="352"/>
    </row>
    <row r="126" spans="1:43" ht="15.75">
      <c r="A126" s="323">
        <v>10</v>
      </c>
      <c r="B126" s="448">
        <f t="shared" si="21"/>
        <v>0</v>
      </c>
      <c r="C126" s="365">
        <f t="shared" si="23"/>
        <v>0</v>
      </c>
      <c r="D126" s="365" t="e">
        <f>IF(ISNUMBER(C126),VLOOKUP(B126,Productos!$A$2:$G$111,7,FALSE),0)</f>
        <v>#N/A</v>
      </c>
      <c r="E126" s="365" t="e">
        <f>IF(B126&lt;&gt;"",VLOOKUP(B126,Productos!$A$2:$G$116,6,FALSE),0)</f>
        <v>#N/A</v>
      </c>
      <c r="F126" s="365"/>
      <c r="G126" s="365" t="e">
        <f>IF(B126="Caja + Backlight",'NV CAJAS (BL)'!L36+TablaValoresProducto[[#This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total]]/G19+TablaValoresProducto[[#This Row],[Estructura]]+TablaValoresProducto[[#This Row],[Terminaciones]]+TablaValoresProducto[[#This Row],[Otros x1]],0))</f>
        <v>#DIV/0!</v>
      </c>
      <c r="H126" s="442">
        <f t="shared" si="22"/>
        <v>0</v>
      </c>
      <c r="I126" s="365" t="e">
        <f>TablaValoresProducto[[#This Row],[Valor impresion total]]/G19</f>
        <v>#DIV/0!</v>
      </c>
      <c r="Z126" s="330"/>
      <c r="AA126" s="334"/>
      <c r="AB126" s="334"/>
      <c r="AC126" s="272"/>
      <c r="AD126" s="124"/>
      <c r="AE126" s="152"/>
      <c r="AJ126" s="152"/>
      <c r="AK126" s="352"/>
    </row>
    <row r="127" spans="1:43" ht="15.75">
      <c r="A127" s="323">
        <v>11</v>
      </c>
      <c r="B127" s="448">
        <f t="shared" si="21"/>
        <v>0</v>
      </c>
      <c r="C127" s="365">
        <f t="shared" si="23"/>
        <v>0</v>
      </c>
      <c r="D127" s="365" t="e">
        <f>IF(ISNUMBER(C127),VLOOKUP(B127,Productos!$A$2:$G$111,7,FALSE),0)</f>
        <v>#N/A</v>
      </c>
      <c r="E127" s="365" t="e">
        <f>IF(B127&lt;&gt;"",VLOOKUP(B127,Productos!$A$2:$G$116,6,FALSE),0)</f>
        <v>#N/A</v>
      </c>
      <c r="F127" s="365"/>
      <c r="G127" s="365" t="e">
        <f>IF(B127="Caja + Backlight",'NV CAJAS (BL)'!L37+TablaValoresProducto[[#This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total]]/G20+TablaValoresProducto[[#This Row],[Estructura]]+TablaValoresProducto[[#This Row],[Terminaciones]]+TablaValoresProducto[[#This Row],[Otros x1]],0))</f>
        <v>#DIV/0!</v>
      </c>
      <c r="H127" s="442">
        <f t="shared" si="22"/>
        <v>0</v>
      </c>
      <c r="I127" s="365" t="e">
        <f>TablaValoresProducto[[#This Row],[Valor impresion total]]/G20</f>
        <v>#DIV/0!</v>
      </c>
      <c r="Z127" s="330"/>
      <c r="AA127" s="334"/>
      <c r="AB127" s="334"/>
      <c r="AC127" s="272"/>
      <c r="AD127" s="124"/>
      <c r="AE127" s="152"/>
      <c r="AJ127" s="152"/>
      <c r="AK127" s="352"/>
    </row>
    <row r="128" spans="1:43" ht="15.75">
      <c r="A128" s="323">
        <v>12</v>
      </c>
      <c r="B128" s="448">
        <f t="shared" si="21"/>
        <v>0</v>
      </c>
      <c r="C128" s="365">
        <f t="shared" si="23"/>
        <v>0</v>
      </c>
      <c r="D128" s="365" t="e">
        <f>IF(ISNUMBER(C128),VLOOKUP(B128,Productos!$A$2:$G$111,7,FALSE),0)</f>
        <v>#N/A</v>
      </c>
      <c r="E128" s="365" t="e">
        <f>IF(B128&lt;&gt;"",VLOOKUP(B128,Productos!$A$2:$G$116,6,FALSE),0)</f>
        <v>#N/A</v>
      </c>
      <c r="F128" s="365"/>
      <c r="G128" s="365" t="e">
        <f>IF(B128="Caja + Backlight",'NV CAJAS (BL)'!L38+TablaValoresProducto[[#This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total]]/G21+TablaValoresProducto[[#This Row],[Estructura]]+TablaValoresProducto[[#This Row],[Terminaciones]]+TablaValoresProducto[[#This Row],[Otros x1]],0))</f>
        <v>#DIV/0!</v>
      </c>
      <c r="H128" s="442">
        <f t="shared" si="22"/>
        <v>0</v>
      </c>
      <c r="I128" s="365" t="e">
        <f>TablaValoresProducto[[#This Row],[Valor impresion total]]/G21</f>
        <v>#DIV/0!</v>
      </c>
      <c r="Z128" s="330"/>
      <c r="AA128" s="334"/>
      <c r="AB128" s="334"/>
      <c r="AC128" s="272"/>
      <c r="AD128" s="124"/>
      <c r="AE128" s="152"/>
      <c r="AJ128" s="152"/>
      <c r="AK128" s="352"/>
    </row>
    <row r="129" spans="1:37" ht="15.75">
      <c r="A129" s="323">
        <v>13</v>
      </c>
      <c r="B129" s="448">
        <f t="shared" si="21"/>
        <v>0</v>
      </c>
      <c r="C129" s="365">
        <f t="shared" si="23"/>
        <v>0</v>
      </c>
      <c r="D129" s="365" t="e">
        <f>IF(ISNUMBER(C129),VLOOKUP(B129,Productos!$A$2:$G$111,7,FALSE),0)</f>
        <v>#N/A</v>
      </c>
      <c r="E129" s="365" t="e">
        <f>IF(B129&lt;&gt;"",VLOOKUP(B129,Productos!$A$2:$G$116,6,FALSE),0)</f>
        <v>#N/A</v>
      </c>
      <c r="F129" s="365"/>
      <c r="G129" s="365" t="e">
        <f>IF(B129="Caja + Backlight",'NV CAJAS (BL)'!L39+TablaValoresProducto[[#This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total]]/G22+TablaValoresProducto[[#This Row],[Estructura]]+TablaValoresProducto[[#This Row],[Terminaciones]]+TablaValoresProducto[[#This Row],[Otros x1]],0))</f>
        <v>#DIV/0!</v>
      </c>
      <c r="H129" s="442">
        <f t="shared" si="22"/>
        <v>0</v>
      </c>
      <c r="I129" s="365" t="e">
        <f>TablaValoresProducto[[#This Row],[Valor impresion total]]/G22</f>
        <v>#DIV/0!</v>
      </c>
      <c r="Z129" s="330"/>
      <c r="AA129" s="334"/>
      <c r="AB129" s="334"/>
      <c r="AC129" s="272"/>
      <c r="AD129" s="124"/>
      <c r="AE129" s="152"/>
      <c r="AJ129" s="152"/>
      <c r="AK129" s="352"/>
    </row>
    <row r="130" spans="1:37" ht="15.75">
      <c r="A130" s="323">
        <v>14</v>
      </c>
      <c r="B130" s="448">
        <f t="shared" si="21"/>
        <v>0</v>
      </c>
      <c r="C130" s="365">
        <f t="shared" si="23"/>
        <v>0</v>
      </c>
      <c r="D130" s="365" t="e">
        <f>IF(ISNUMBER(C130),VLOOKUP(B130,Productos!$A$2:$G$111,7,FALSE),0)</f>
        <v>#N/A</v>
      </c>
      <c r="E130" s="365" t="e">
        <f>IF(B130&lt;&gt;"",VLOOKUP(B130,Productos!$A$2:$G$116,6,FALSE),0)</f>
        <v>#N/A</v>
      </c>
      <c r="F130" s="365"/>
      <c r="G130" s="365" t="e">
        <f>IF(B130="Caja + Backlight",'NV CAJAS (BL)'!L40+TablaValoresProducto[[#This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total]]/G23+TablaValoresProducto[[#This Row],[Estructura]]+TablaValoresProducto[[#This Row],[Terminaciones]]+TablaValoresProducto[[#This Row],[Otros x1]],0))</f>
        <v>#DIV/0!</v>
      </c>
      <c r="H130" s="442">
        <f t="shared" si="22"/>
        <v>0</v>
      </c>
      <c r="I130" s="365" t="e">
        <f>TablaValoresProducto[[#This Row],[Valor impresion total]]/G23</f>
        <v>#DIV/0!</v>
      </c>
      <c r="Z130" s="330"/>
      <c r="AA130" s="334"/>
      <c r="AB130" s="334"/>
      <c r="AC130" s="272"/>
      <c r="AD130" s="124"/>
      <c r="AE130" s="152"/>
      <c r="AJ130" s="152"/>
      <c r="AK130" s="352"/>
    </row>
    <row r="131" spans="1:37" ht="15.75">
      <c r="A131" s="323">
        <v>15</v>
      </c>
      <c r="B131" s="448">
        <f t="shared" si="21"/>
        <v>0</v>
      </c>
      <c r="C131" s="365">
        <f t="shared" si="23"/>
        <v>0</v>
      </c>
      <c r="D131" s="365" t="e">
        <f>IF(ISNUMBER(C131),VLOOKUP(B131,Productos!$A$2:$G$111,7,FALSE),0)</f>
        <v>#N/A</v>
      </c>
      <c r="E131" s="365" t="e">
        <f>IF(B131&lt;&gt;"",VLOOKUP(B131,Productos!$A$2:$G$116,6,FALSE),0)</f>
        <v>#N/A</v>
      </c>
      <c r="F131" s="365"/>
      <c r="G131" s="365" t="e">
        <f>IF(B131="Caja + Backlight",'NV CAJAS (BL)'!L41+TablaValoresProducto[[#This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total]]/G24+TablaValoresProducto[[#This Row],[Estructura]]+TablaValoresProducto[[#This Row],[Terminaciones]]+TablaValoresProducto[[#This Row],[Otros x1]],0))</f>
        <v>#DIV/0!</v>
      </c>
      <c r="H131" s="442">
        <f t="shared" si="22"/>
        <v>0</v>
      </c>
      <c r="I131" s="365" t="e">
        <f>TablaValoresProducto[[#This Row],[Valor impresion total]]/G24</f>
        <v>#DIV/0!</v>
      </c>
      <c r="Z131" s="330"/>
      <c r="AA131" s="334"/>
      <c r="AB131" s="334"/>
      <c r="AC131" s="272"/>
      <c r="AD131" s="124"/>
      <c r="AE131" s="152"/>
      <c r="AJ131" s="152"/>
      <c r="AK131" s="352"/>
    </row>
    <row r="132" spans="1:37" ht="15.75">
      <c r="A132" s="323">
        <v>16</v>
      </c>
      <c r="B132" s="448">
        <f t="shared" si="21"/>
        <v>0</v>
      </c>
      <c r="C132" s="365">
        <f t="shared" si="23"/>
        <v>0</v>
      </c>
      <c r="D132" s="365" t="e">
        <f>IF(ISNUMBER(C132),VLOOKUP(B132,Productos!$A$2:$G$111,7,FALSE),0)</f>
        <v>#N/A</v>
      </c>
      <c r="E132" s="365" t="e">
        <f>IF(B132&lt;&gt;"",VLOOKUP(B132,Productos!$A$2:$G$116,6,FALSE),0)</f>
        <v>#N/A</v>
      </c>
      <c r="F132" s="365"/>
      <c r="G132" s="365" t="e">
        <f>IF(B132="Caja + Backlight",'NV CAJAS (BL)'!L42+TablaValoresProducto[[#This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total]]/G25+TablaValoresProducto[[#This Row],[Estructura]]+TablaValoresProducto[[#This Row],[Terminaciones]]+TablaValoresProducto[[#This Row],[Otros x1]],0))</f>
        <v>#DIV/0!</v>
      </c>
      <c r="H132" s="442">
        <f t="shared" si="22"/>
        <v>0</v>
      </c>
      <c r="I132" s="365" t="e">
        <f>TablaValoresProducto[[#This Row],[Valor impresion total]]/G25</f>
        <v>#DIV/0!</v>
      </c>
      <c r="Z132" s="330"/>
      <c r="AA132" s="334"/>
      <c r="AB132" s="334"/>
      <c r="AC132" s="272"/>
      <c r="AD132" s="124"/>
      <c r="AE132" s="152"/>
      <c r="AJ132" s="152"/>
      <c r="AK132" s="352"/>
    </row>
    <row r="133" spans="1:37" ht="15.75">
      <c r="A133" s="323">
        <v>17</v>
      </c>
      <c r="B133" s="448">
        <f t="shared" si="21"/>
        <v>0</v>
      </c>
      <c r="C133" s="365">
        <f t="shared" si="23"/>
        <v>0</v>
      </c>
      <c r="D133" s="365" t="e">
        <f>IF(ISNUMBER(C133),VLOOKUP(B133,Productos!$A$2:$G$111,7,FALSE),0)</f>
        <v>#N/A</v>
      </c>
      <c r="E133" s="365" t="e">
        <f>IF(B133&lt;&gt;"",VLOOKUP(B133,Productos!$A$2:$G$116,6,FALSE),0)</f>
        <v>#N/A</v>
      </c>
      <c r="F133" s="365"/>
      <c r="G133" s="365" t="e">
        <f>IF(B133="Caja + Backlight",'NV CAJAS (BL)'!L43+TablaValoresProducto[[#This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total]]/G26+TablaValoresProducto[[#This Row],[Estructura]]+TablaValoresProducto[[#This Row],[Terminaciones]]+TablaValoresProducto[[#This Row],[Otros x1]],0))</f>
        <v>#DIV/0!</v>
      </c>
      <c r="H133" s="442">
        <f t="shared" si="22"/>
        <v>0</v>
      </c>
      <c r="I133" s="365" t="e">
        <f>TablaValoresProducto[[#This Row],[Valor impresion total]]/G26</f>
        <v>#DIV/0!</v>
      </c>
      <c r="Z133" s="330"/>
      <c r="AA133" s="334"/>
      <c r="AB133" s="334"/>
      <c r="AC133" s="272"/>
      <c r="AD133" s="124"/>
      <c r="AE133" s="152"/>
      <c r="AJ133" s="152"/>
      <c r="AK133" s="352"/>
    </row>
    <row r="134" spans="1:37" ht="15.75">
      <c r="A134" s="323">
        <v>18</v>
      </c>
      <c r="B134" s="448">
        <f t="shared" si="21"/>
        <v>0</v>
      </c>
      <c r="C134" s="365">
        <f t="shared" si="23"/>
        <v>0</v>
      </c>
      <c r="D134" s="365" t="e">
        <f>IF(ISNUMBER(C134),VLOOKUP(B134,Productos!$A$2:$G$111,7,FALSE),0)</f>
        <v>#N/A</v>
      </c>
      <c r="E134" s="365" t="e">
        <f>IF(B134&lt;&gt;"",VLOOKUP(B134,Productos!$A$2:$G$116,6,FALSE),0)</f>
        <v>#N/A</v>
      </c>
      <c r="F134" s="365"/>
      <c r="G134" s="365" t="e">
        <f>IF(B134="Caja + Backlight",'NV CAJAS (BL)'!L44+TablaValoresProducto[[#This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total]]/G27+TablaValoresProducto[[#This Row],[Estructura]]+TablaValoresProducto[[#This Row],[Terminaciones]]+TablaValoresProducto[[#This Row],[Otros x1]],0))</f>
        <v>#DIV/0!</v>
      </c>
      <c r="H134" s="442">
        <f t="shared" si="22"/>
        <v>0</v>
      </c>
      <c r="I134" s="365" t="e">
        <f>TablaValoresProducto[[#This Row],[Valor impresion total]]/G27</f>
        <v>#DIV/0!</v>
      </c>
      <c r="Z134" s="330"/>
      <c r="AA134" s="334"/>
      <c r="AB134" s="334"/>
      <c r="AC134" s="272"/>
      <c r="AD134" s="124"/>
      <c r="AE134" s="152"/>
      <c r="AJ134" s="152"/>
      <c r="AK134" s="352"/>
    </row>
    <row r="135" spans="1:37" ht="15.75">
      <c r="A135" s="323">
        <v>19</v>
      </c>
      <c r="B135" s="448">
        <f t="shared" si="21"/>
        <v>0</v>
      </c>
      <c r="C135" s="365">
        <f t="shared" si="23"/>
        <v>0</v>
      </c>
      <c r="D135" s="365" t="e">
        <f>IF(ISNUMBER(C135),VLOOKUP(B135,Productos!$A$2:$G$111,7,FALSE),0)</f>
        <v>#N/A</v>
      </c>
      <c r="E135" s="365" t="e">
        <f>IF(B135&lt;&gt;"",VLOOKUP(B135,Productos!$A$2:$G$116,6,FALSE),0)</f>
        <v>#N/A</v>
      </c>
      <c r="F135" s="365"/>
      <c r="G135" s="365" t="e">
        <f>IF(B135="Caja + Backlight",'NV CAJAS (BL)'!L45+TablaValoresProducto[[#This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total]]/G28+TablaValoresProducto[[#This Row],[Estructura]]+TablaValoresProducto[[#This Row],[Terminaciones]]+TablaValoresProducto[[#This Row],[Otros x1]],0))</f>
        <v>#DIV/0!</v>
      </c>
      <c r="H135" s="442">
        <f t="shared" si="22"/>
        <v>0</v>
      </c>
      <c r="I135" s="365" t="e">
        <f>TablaValoresProducto[[#This Row],[Valor impresion total]]/G28</f>
        <v>#DIV/0!</v>
      </c>
      <c r="Z135" s="330"/>
      <c r="AA135" s="334"/>
      <c r="AB135" s="334"/>
      <c r="AC135" s="272"/>
      <c r="AD135" s="124"/>
      <c r="AE135" s="152"/>
      <c r="AJ135" s="152"/>
      <c r="AK135" s="352"/>
    </row>
    <row r="136" spans="1:37" ht="15.75">
      <c r="A136" s="323">
        <v>20</v>
      </c>
      <c r="B136" s="448">
        <f t="shared" si="21"/>
        <v>0</v>
      </c>
      <c r="C136" s="365">
        <f t="shared" si="23"/>
        <v>0</v>
      </c>
      <c r="D136" s="365" t="e">
        <f>IF(ISNUMBER(C136),VLOOKUP(B136,Productos!$A$2:$G$111,7,FALSE),0)</f>
        <v>#N/A</v>
      </c>
      <c r="E136" s="365" t="e">
        <f>IF(B136&lt;&gt;"",VLOOKUP(B136,Productos!$A$2:$G$116,6,FALSE),0)</f>
        <v>#N/A</v>
      </c>
      <c r="F136" s="365"/>
      <c r="G136" s="365" t="e">
        <f>IF(B136="Caja + Backlight",'NV CAJAS (BL)'!L46+TablaValoresProducto[[#This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total]]/G29+TablaValoresProducto[[#This Row],[Estructura]]+TablaValoresProducto[[#This Row],[Terminaciones]]+TablaValoresProducto[[#This Row],[Otros x1]],0))</f>
        <v>#DIV/0!</v>
      </c>
      <c r="H136" s="442">
        <f t="shared" si="22"/>
        <v>0</v>
      </c>
      <c r="I136" s="365" t="e">
        <f>TablaValoresProducto[[#This Row],[Valor impresion total]]/G29</f>
        <v>#DIV/0!</v>
      </c>
      <c r="Z136" s="330"/>
      <c r="AA136" s="334"/>
      <c r="AB136" s="334"/>
      <c r="AC136" s="272"/>
      <c r="AD136" s="124"/>
      <c r="AE136" s="152"/>
      <c r="AJ136" s="152"/>
      <c r="AK136" s="352"/>
    </row>
    <row r="137" spans="1:37" ht="15.75">
      <c r="A137" s="323">
        <v>21</v>
      </c>
      <c r="B137" s="448">
        <f t="shared" si="21"/>
        <v>0</v>
      </c>
      <c r="C137" s="365">
        <f t="shared" si="23"/>
        <v>0</v>
      </c>
      <c r="D137" s="365" t="e">
        <f>IF(ISNUMBER(C137),VLOOKUP(B137,Productos!$A$2:$G$111,7,FALSE),0)</f>
        <v>#N/A</v>
      </c>
      <c r="E137" s="365" t="e">
        <f>IF(B137&lt;&gt;"",VLOOKUP(B137,Productos!$A$2:$G$116,6,FALSE),0)</f>
        <v>#N/A</v>
      </c>
      <c r="F137" s="365"/>
      <c r="G137" s="365" t="e">
        <f>IF(B137="Caja + Backlight",'NV CAJAS (BL)'!L47+TablaValoresProducto[[#This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total]]/G30+TablaValoresProducto[[#This Row],[Estructura]]+TablaValoresProducto[[#This Row],[Terminaciones]]+TablaValoresProducto[[#This Row],[Otros x1]],0))</f>
        <v>#DIV/0!</v>
      </c>
      <c r="H137" s="442">
        <f t="shared" si="22"/>
        <v>0</v>
      </c>
      <c r="I137" s="365" t="e">
        <f>TablaValoresProducto[[#This Row],[Valor impresion total]]/G30</f>
        <v>#DIV/0!</v>
      </c>
      <c r="Z137" s="330"/>
      <c r="AA137" s="334"/>
      <c r="AB137" s="334"/>
      <c r="AC137" s="272"/>
      <c r="AD137" s="124"/>
      <c r="AE137" s="152"/>
      <c r="AJ137" s="152"/>
      <c r="AK137" s="352"/>
    </row>
    <row r="138" spans="1:37" ht="15.75">
      <c r="A138" s="323">
        <v>22</v>
      </c>
      <c r="B138" s="448">
        <f t="shared" si="21"/>
        <v>0</v>
      </c>
      <c r="C138" s="365">
        <f t="shared" si="23"/>
        <v>0</v>
      </c>
      <c r="D138" s="365" t="e">
        <f>IF(ISNUMBER(C138),VLOOKUP(B138,Productos!$A$2:$G$111,7,FALSE),0)</f>
        <v>#N/A</v>
      </c>
      <c r="E138" s="365" t="e">
        <f>IF(B138&lt;&gt;"",VLOOKUP(B138,Productos!$A$2:$G$116,6,FALSE),0)</f>
        <v>#N/A</v>
      </c>
      <c r="F138" s="365"/>
      <c r="G138" s="365" t="e">
        <f>IF(B138="Caja + Backlight",'NV CAJAS (BL)'!L48+TablaValoresProducto[[#This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total]]/G31+TablaValoresProducto[[#This Row],[Estructura]]+TablaValoresProducto[[#This Row],[Terminaciones]]+TablaValoresProducto[[#This Row],[Otros x1]],0))</f>
        <v>#DIV/0!</v>
      </c>
      <c r="H138" s="442">
        <f t="shared" si="22"/>
        <v>0</v>
      </c>
      <c r="I138" s="365" t="e">
        <f>TablaValoresProducto[[#This Row],[Valor impresion total]]/G31</f>
        <v>#DIV/0!</v>
      </c>
      <c r="Z138" s="330"/>
      <c r="AA138" s="334"/>
      <c r="AB138" s="334"/>
      <c r="AC138" s="272"/>
      <c r="AD138" s="124"/>
      <c r="AE138" s="152"/>
      <c r="AJ138" s="152"/>
      <c r="AK138" s="352"/>
    </row>
    <row r="139" spans="1:37" ht="15.75">
      <c r="A139" s="323">
        <v>23</v>
      </c>
      <c r="B139" s="448">
        <f t="shared" si="21"/>
        <v>0</v>
      </c>
      <c r="C139" s="365">
        <f t="shared" si="23"/>
        <v>0</v>
      </c>
      <c r="D139" s="365" t="e">
        <f>IF(ISNUMBER(C139),VLOOKUP(B139,Productos!$A$2:$G$111,7,FALSE),0)</f>
        <v>#N/A</v>
      </c>
      <c r="E139" s="365" t="e">
        <f>IF(B139&lt;&gt;"",VLOOKUP(B139,Productos!$A$2:$G$116,6,FALSE),0)</f>
        <v>#N/A</v>
      </c>
      <c r="F139" s="365"/>
      <c r="G139" s="365" t="e">
        <f>IF(B139="Caja + Backlight",'NV CAJAS (BL)'!L49+TablaValoresProducto[[#This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total]]/G32+TablaValoresProducto[[#This Row],[Estructura]]+TablaValoresProducto[[#This Row],[Terminaciones]]+TablaValoresProducto[[#This Row],[Otros x1]],0))</f>
        <v>#DIV/0!</v>
      </c>
      <c r="H139" s="442">
        <f t="shared" si="22"/>
        <v>0</v>
      </c>
      <c r="I139" s="365" t="e">
        <f>TablaValoresProducto[[#This Row],[Valor impresion total]]/G32</f>
        <v>#DIV/0!</v>
      </c>
      <c r="Z139" s="330"/>
      <c r="AA139" s="334"/>
      <c r="AB139" s="334"/>
      <c r="AC139" s="272"/>
      <c r="AD139" s="124"/>
      <c r="AE139" s="152"/>
      <c r="AJ139" s="152"/>
      <c r="AK139" s="352"/>
    </row>
    <row r="140" spans="1:37" ht="15.75">
      <c r="A140" s="323">
        <v>24</v>
      </c>
      <c r="B140" s="448">
        <f t="shared" si="21"/>
        <v>0</v>
      </c>
      <c r="C140" s="365">
        <f t="shared" si="23"/>
        <v>0</v>
      </c>
      <c r="D140" s="365" t="e">
        <f>IF(ISNUMBER(C140),VLOOKUP(B140,Productos!$A$2:$G$111,7,FALSE),0)</f>
        <v>#N/A</v>
      </c>
      <c r="E140" s="365" t="e">
        <f>IF(B140&lt;&gt;"",VLOOKUP(B140,Productos!$A$2:$G$116,6,FALSE),0)</f>
        <v>#N/A</v>
      </c>
      <c r="F140" s="365"/>
      <c r="G140" s="365" t="e">
        <f>IF(B140="Caja + Backlight",'NV CAJAS (BL)'!L50+TablaValoresProducto[[#This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total]]/G33+TablaValoresProducto[[#This Row],[Estructura]]+TablaValoresProducto[[#This Row],[Terminaciones]]+TablaValoresProducto[[#This Row],[Otros x1]],0))</f>
        <v>#DIV/0!</v>
      </c>
      <c r="H140" s="442">
        <f t="shared" si="22"/>
        <v>0</v>
      </c>
      <c r="I140" s="365" t="e">
        <f>TablaValoresProducto[[#This Row],[Valor impresion total]]/G33</f>
        <v>#DIV/0!</v>
      </c>
      <c r="Z140" s="330"/>
      <c r="AA140" s="334"/>
      <c r="AB140" s="334"/>
      <c r="AC140" s="272"/>
      <c r="AD140" s="124"/>
      <c r="AE140" s="152"/>
      <c r="AJ140" s="152"/>
      <c r="AK140" s="352"/>
    </row>
    <row r="141" spans="1:37" ht="15.75">
      <c r="A141" s="323">
        <v>25</v>
      </c>
      <c r="B141" s="448">
        <f t="shared" si="21"/>
        <v>0</v>
      </c>
      <c r="C141" s="365">
        <f t="shared" si="23"/>
        <v>0</v>
      </c>
      <c r="D141" s="365" t="e">
        <f>IF(ISNUMBER(C141),VLOOKUP(B141,Productos!$A$2:$G$111,7,FALSE),0)</f>
        <v>#N/A</v>
      </c>
      <c r="E141" s="365" t="e">
        <f>IF(B141&lt;&gt;"",VLOOKUP(B141,Productos!$A$2:$G$116,6,FALSE),0)</f>
        <v>#N/A</v>
      </c>
      <c r="F141" s="365"/>
      <c r="G141" s="365" t="e">
        <f>IF(B141="Caja + Backlight",'NV CAJAS (BL)'!L51+TablaValoresProducto[[#This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total]]/G34+TablaValoresProducto[[#This Row],[Estructura]]+TablaValoresProducto[[#This Row],[Terminaciones]]+TablaValoresProducto[[#This Row],[Otros x1]],0))</f>
        <v>#DIV/0!</v>
      </c>
      <c r="H141" s="442">
        <f t="shared" si="22"/>
        <v>0</v>
      </c>
      <c r="I141" s="365" t="e">
        <f>TablaValoresProducto[[#This Row],[Valor impresion total]]/G34</f>
        <v>#DIV/0!</v>
      </c>
      <c r="Z141" s="330"/>
      <c r="AA141" s="334"/>
      <c r="AB141" s="334"/>
      <c r="AC141" s="272"/>
      <c r="AD141" s="124"/>
      <c r="AE141" s="152"/>
      <c r="AJ141" s="152"/>
      <c r="AK141" s="352"/>
    </row>
    <row r="142" spans="1:37" ht="15.75">
      <c r="A142" s="323">
        <v>26</v>
      </c>
      <c r="B142" s="448">
        <f t="shared" si="21"/>
        <v>0</v>
      </c>
      <c r="C142" s="365">
        <f t="shared" si="23"/>
        <v>0</v>
      </c>
      <c r="D142" s="365" t="e">
        <f>IF(ISNUMBER(C142),VLOOKUP(B142,Productos!$A$2:$G$111,7,FALSE),0)</f>
        <v>#N/A</v>
      </c>
      <c r="E142" s="365" t="e">
        <f>IF(B142&lt;&gt;"",VLOOKUP(B142,Productos!$A$2:$G$116,6,FALSE),0)</f>
        <v>#N/A</v>
      </c>
      <c r="F142" s="365"/>
      <c r="G142" s="365" t="e">
        <f>IF(B142="Caja + Backlight",'NV CAJAS (BL)'!L52+TablaValoresProducto[[#This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total]]/G35+TablaValoresProducto[[#This Row],[Estructura]]+TablaValoresProducto[[#This Row],[Terminaciones]]+TablaValoresProducto[[#This Row],[Otros x1]],0))</f>
        <v>#DIV/0!</v>
      </c>
      <c r="H142" s="442">
        <f t="shared" si="22"/>
        <v>0</v>
      </c>
      <c r="I142" s="365" t="e">
        <f>TablaValoresProducto[[#This Row],[Valor impresion total]]/G35</f>
        <v>#DIV/0!</v>
      </c>
      <c r="Z142" s="330"/>
      <c r="AA142" s="334"/>
      <c r="AB142" s="334"/>
      <c r="AC142" s="272"/>
      <c r="AD142" s="124"/>
      <c r="AE142" s="152"/>
      <c r="AJ142" s="152"/>
      <c r="AK142" s="352"/>
    </row>
    <row r="143" spans="1:37" ht="15.75">
      <c r="A143" s="323">
        <v>27</v>
      </c>
      <c r="B143" s="448">
        <f t="shared" si="21"/>
        <v>0</v>
      </c>
      <c r="C143" s="365">
        <f t="shared" si="23"/>
        <v>0</v>
      </c>
      <c r="D143" s="365" t="e">
        <f>IF(ISNUMBER(C143),VLOOKUP(B143,Productos!$A$2:$G$111,7,FALSE),0)</f>
        <v>#N/A</v>
      </c>
      <c r="E143" s="365" t="e">
        <f>IF(B143&lt;&gt;"",VLOOKUP(B143,Productos!$A$2:$G$116,6,FALSE),0)</f>
        <v>#N/A</v>
      </c>
      <c r="F143" s="365"/>
      <c r="G143" s="365" t="e">
        <f>IF(B143="Caja + Backlight",'NV CAJAS (BL)'!L53+TablaValoresProducto[[#This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total]]/G36+TablaValoresProducto[[#This Row],[Estructura]]+TablaValoresProducto[[#This Row],[Terminaciones]]+TablaValoresProducto[[#This Row],[Otros x1]],0))</f>
        <v>#DIV/0!</v>
      </c>
      <c r="H143" s="442">
        <f t="shared" si="22"/>
        <v>0</v>
      </c>
      <c r="I143" s="365" t="e">
        <f>TablaValoresProducto[[#This Row],[Valor impresion total]]/G36</f>
        <v>#DIV/0!</v>
      </c>
      <c r="Z143" s="330"/>
      <c r="AA143" s="334"/>
      <c r="AB143" s="334"/>
      <c r="AC143" s="272"/>
      <c r="AD143" s="124"/>
      <c r="AE143" s="152"/>
      <c r="AJ143" s="152"/>
      <c r="AK143" s="352"/>
    </row>
    <row r="144" spans="1:37" ht="15.75">
      <c r="A144" s="323">
        <v>28</v>
      </c>
      <c r="B144" s="448">
        <f t="shared" si="21"/>
        <v>0</v>
      </c>
      <c r="C144" s="365">
        <f t="shared" si="23"/>
        <v>0</v>
      </c>
      <c r="D144" s="365" t="e">
        <f>IF(ISNUMBER(C144),VLOOKUP(B144,Productos!$A$2:$G$111,7,FALSE),0)</f>
        <v>#N/A</v>
      </c>
      <c r="E144" s="365" t="e">
        <f>IF(B144&lt;&gt;"",VLOOKUP(B144,Productos!$A$2:$G$116,6,FALSE),0)</f>
        <v>#N/A</v>
      </c>
      <c r="F144" s="365"/>
      <c r="G144" s="365" t="e">
        <f>IF(B144="Caja + Backlight",'NV CAJAS (BL)'!L54+TablaValoresProducto[[#This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total]]/G37+TablaValoresProducto[[#This Row],[Estructura]]+TablaValoresProducto[[#This Row],[Terminaciones]]+TablaValoresProducto[[#This Row],[Otros x1]],0))</f>
        <v>#DIV/0!</v>
      </c>
      <c r="H144" s="442">
        <f t="shared" si="22"/>
        <v>0</v>
      </c>
      <c r="I144" s="365" t="e">
        <f>TablaValoresProducto[[#This Row],[Valor impresion total]]/G37</f>
        <v>#DIV/0!</v>
      </c>
      <c r="Z144" s="330"/>
      <c r="AA144" s="334"/>
      <c r="AB144" s="334"/>
      <c r="AC144" s="272"/>
      <c r="AD144" s="124"/>
      <c r="AE144" s="152"/>
      <c r="AJ144" s="152"/>
      <c r="AK144" s="352"/>
    </row>
    <row r="145" spans="1:37" ht="15.75">
      <c r="A145" s="323">
        <v>29</v>
      </c>
      <c r="B145" s="448">
        <f t="shared" si="21"/>
        <v>0</v>
      </c>
      <c r="C145" s="365">
        <f t="shared" si="23"/>
        <v>0</v>
      </c>
      <c r="D145" s="365" t="e">
        <f>IF(ISNUMBER(C145),VLOOKUP(B145,Productos!$A$2:$G$111,7,FALSE),0)</f>
        <v>#N/A</v>
      </c>
      <c r="E145" s="365" t="e">
        <f>IF(B145&lt;&gt;"",VLOOKUP(B145,Productos!$A$2:$G$116,6,FALSE),0)</f>
        <v>#N/A</v>
      </c>
      <c r="F145" s="365"/>
      <c r="G145" s="365" t="e">
        <f>IF(B145="Caja + Backlight",'NV CAJAS (BL)'!L55+TablaValoresProducto[[#This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total]]/G38+TablaValoresProducto[[#This Row],[Estructura]]+TablaValoresProducto[[#This Row],[Terminaciones]]+TablaValoresProducto[[#This Row],[Otros x1]],0))</f>
        <v>#DIV/0!</v>
      </c>
      <c r="H145" s="442">
        <f t="shared" si="22"/>
        <v>0</v>
      </c>
      <c r="I145" s="365" t="e">
        <f>TablaValoresProducto[[#This Row],[Valor impresion total]]/G38</f>
        <v>#DIV/0!</v>
      </c>
      <c r="Z145" s="330"/>
      <c r="AA145" s="334"/>
      <c r="AB145" s="334"/>
      <c r="AC145" s="272"/>
      <c r="AD145" s="124"/>
      <c r="AE145" s="152"/>
      <c r="AJ145" s="152"/>
      <c r="AK145" s="352"/>
    </row>
    <row r="146" spans="1:37" ht="15.75">
      <c r="A146" s="323">
        <v>30</v>
      </c>
      <c r="B146" s="448">
        <f t="shared" si="21"/>
        <v>0</v>
      </c>
      <c r="C146" s="365">
        <f t="shared" si="23"/>
        <v>0</v>
      </c>
      <c r="D146" s="365" t="e">
        <f>IF(ISNUMBER(C146),VLOOKUP(B146,Productos!$A$2:$G$111,7,FALSE),0)</f>
        <v>#N/A</v>
      </c>
      <c r="E146" s="365" t="e">
        <f>IF(B146&lt;&gt;"",VLOOKUP(B146,Productos!$A$2:$G$116,6,FALSE),0)</f>
        <v>#N/A</v>
      </c>
      <c r="F146" s="365"/>
      <c r="G146" s="365" t="e">
        <f>IF(B146="Caja + Backlight",'NV CAJAS (BL)'!L56+TablaValoresProducto[[#This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total]]/G39+TablaValoresProducto[[#This Row],[Estructura]]+TablaValoresProducto[[#This Row],[Terminaciones]]+TablaValoresProducto[[#This Row],[Otros x1]],0))</f>
        <v>#DIV/0!</v>
      </c>
      <c r="H146" s="442">
        <f t="shared" si="22"/>
        <v>0</v>
      </c>
      <c r="I146" s="365" t="e">
        <f>TablaValoresProducto[[#This Row],[Valor impresion total]]/G39</f>
        <v>#DIV/0!</v>
      </c>
      <c r="Z146" s="330"/>
      <c r="AA146" s="334"/>
      <c r="AB146" s="334"/>
      <c r="AC146" s="272"/>
      <c r="AD146" s="124"/>
      <c r="AE146" s="152"/>
      <c r="AJ146" s="152"/>
      <c r="AK146" s="352"/>
    </row>
    <row r="147" spans="1:37" ht="15.75">
      <c r="A147" s="323">
        <v>31</v>
      </c>
      <c r="B147" s="448">
        <f t="shared" si="21"/>
        <v>0</v>
      </c>
      <c r="C147" s="365">
        <f t="shared" si="23"/>
        <v>0</v>
      </c>
      <c r="D147" s="365" t="e">
        <f>IF(ISNUMBER(C147),VLOOKUP(B147,Productos!$A$2:$G$111,7,FALSE),0)</f>
        <v>#N/A</v>
      </c>
      <c r="E147" s="365" t="e">
        <f>IF(B147&lt;&gt;"",VLOOKUP(B147,Productos!$A$2:$G$116,6,FALSE),0)</f>
        <v>#N/A</v>
      </c>
      <c r="F147" s="365"/>
      <c r="G147" s="365" t="e">
        <f>IF(B147="Caja + Backlight",'NV CAJAS (BL)'!L57+TablaValoresProducto[[#This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total]]/G40+TablaValoresProducto[[#This Row],[Estructura]]+TablaValoresProducto[[#This Row],[Terminaciones]]+TablaValoresProducto[[#This Row],[Otros x1]],0))</f>
        <v>#DIV/0!</v>
      </c>
      <c r="H147" s="442">
        <f t="shared" si="22"/>
        <v>0</v>
      </c>
      <c r="I147" s="365" t="e">
        <f>TablaValoresProducto[[#This Row],[Valor impresion total]]/G40</f>
        <v>#DIV/0!</v>
      </c>
      <c r="Z147" s="330"/>
      <c r="AA147" s="334"/>
      <c r="AB147" s="334"/>
      <c r="AC147" s="272"/>
      <c r="AD147" s="124"/>
      <c r="AE147" s="152"/>
      <c r="AJ147" s="152"/>
      <c r="AK147" s="352"/>
    </row>
    <row r="148" spans="1:37" ht="15.75">
      <c r="A148" s="323">
        <v>32</v>
      </c>
      <c r="B148" s="448">
        <f t="shared" si="21"/>
        <v>0</v>
      </c>
      <c r="C148" s="365">
        <f t="shared" si="23"/>
        <v>0</v>
      </c>
      <c r="D148" s="365" t="e">
        <f>IF(ISNUMBER(C148),VLOOKUP(B148,Productos!$A$2:$G$111,7,FALSE),0)</f>
        <v>#N/A</v>
      </c>
      <c r="E148" s="365" t="e">
        <f>IF(B148&lt;&gt;"",VLOOKUP(B148,Productos!$A$2:$G$116,6,FALSE),0)</f>
        <v>#N/A</v>
      </c>
      <c r="F148" s="365"/>
      <c r="G148" s="365" t="e">
        <f>IF(B148="Caja + Backlight",'NV CAJAS (BL)'!L58+TablaValoresProducto[[#This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total]]/G41+TablaValoresProducto[[#This Row],[Estructura]]+TablaValoresProducto[[#This Row],[Terminaciones]]+TablaValoresProducto[[#This Row],[Otros x1]],0))</f>
        <v>#DIV/0!</v>
      </c>
      <c r="H148" s="442">
        <f t="shared" si="22"/>
        <v>0</v>
      </c>
      <c r="I148" s="365" t="e">
        <f>TablaValoresProducto[[#This Row],[Valor impresion total]]/G41</f>
        <v>#DIV/0!</v>
      </c>
      <c r="Z148" s="330"/>
      <c r="AA148" s="334"/>
      <c r="AB148" s="334"/>
      <c r="AC148" s="272"/>
      <c r="AD148" s="124"/>
      <c r="AE148" s="152"/>
      <c r="AJ148" s="152"/>
      <c r="AK148" s="352"/>
    </row>
    <row r="149" spans="1:37" ht="15.75">
      <c r="A149" s="323">
        <v>33</v>
      </c>
      <c r="B149" s="448">
        <f t="shared" ref="B149:B180" si="24">B42</f>
        <v>0</v>
      </c>
      <c r="C149" s="365">
        <f t="shared" ref="C149:C180" si="25">IF(ISNUMBER(K42),J42*K42,0)</f>
        <v>0</v>
      </c>
      <c r="D149" s="365" t="e">
        <f>IF(ISNUMBER(C149),VLOOKUP(B149,Productos!$A$2:$G$111,7,FALSE),0)</f>
        <v>#N/A</v>
      </c>
      <c r="E149" s="365" t="e">
        <f>IF(B149&lt;&gt;"",VLOOKUP(B149,Productos!$A$2:$G$116,6,FALSE),0)</f>
        <v>#N/A</v>
      </c>
      <c r="F149" s="365"/>
      <c r="G149" s="365" t="e">
        <f>IF(B149="Caja + Backlight",'NV CAJAS (BL)'!L59+TablaValoresProducto[[#This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total]]/G42+TablaValoresProducto[[#This Row],[Estructura]]+TablaValoresProducto[[#This Row],[Terminaciones]]+TablaValoresProducto[[#This Row],[Otros x1]],0))</f>
        <v>#DIV/0!</v>
      </c>
      <c r="H149" s="442">
        <f t="shared" ref="H149:H180" si="26">IF(ISNUMBER(G149),G149*G42,0)</f>
        <v>0</v>
      </c>
      <c r="I149" s="365" t="e">
        <f>TablaValoresProducto[[#This Row],[Valor impresion total]]/G42</f>
        <v>#DIV/0!</v>
      </c>
      <c r="Z149" s="330"/>
      <c r="AA149" s="334"/>
      <c r="AB149" s="334"/>
      <c r="AC149" s="272"/>
      <c r="AD149" s="124"/>
      <c r="AE149" s="152"/>
      <c r="AJ149" s="152"/>
      <c r="AK149" s="352"/>
    </row>
    <row r="150" spans="1:37" ht="15.75">
      <c r="A150" s="323">
        <v>34</v>
      </c>
      <c r="B150" s="448">
        <f t="shared" si="24"/>
        <v>0</v>
      </c>
      <c r="C150" s="365">
        <f t="shared" si="25"/>
        <v>0</v>
      </c>
      <c r="D150" s="365" t="e">
        <f>IF(ISNUMBER(C150),VLOOKUP(B150,Productos!$A$2:$G$111,7,FALSE),0)</f>
        <v>#N/A</v>
      </c>
      <c r="E150" s="365" t="e">
        <f>IF(B150&lt;&gt;"",VLOOKUP(B150,Productos!$A$2:$G$116,6,FALSE),0)</f>
        <v>#N/A</v>
      </c>
      <c r="F150" s="365"/>
      <c r="G150" s="365" t="e">
        <f>IF(B150="Caja + Backlight",'NV CAJAS (BL)'!L60+TablaValoresProducto[[#This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total]]/G43+TablaValoresProducto[[#This Row],[Estructura]]+TablaValoresProducto[[#This Row],[Terminaciones]]+TablaValoresProducto[[#This Row],[Otros x1]],0))</f>
        <v>#DIV/0!</v>
      </c>
      <c r="H150" s="442">
        <f t="shared" si="26"/>
        <v>0</v>
      </c>
      <c r="I150" s="365" t="e">
        <f>TablaValoresProducto[[#This Row],[Valor impresion total]]/G43</f>
        <v>#DIV/0!</v>
      </c>
      <c r="Z150" s="330"/>
      <c r="AA150" s="334"/>
      <c r="AB150" s="334"/>
      <c r="AC150" s="272"/>
      <c r="AD150" s="124"/>
      <c r="AE150" s="152"/>
      <c r="AJ150" s="152"/>
      <c r="AK150" s="352"/>
    </row>
    <row r="151" spans="1:37" ht="15.75">
      <c r="A151" s="323">
        <v>35</v>
      </c>
      <c r="B151" s="448">
        <f t="shared" si="24"/>
        <v>0</v>
      </c>
      <c r="C151" s="365">
        <f t="shared" si="25"/>
        <v>0</v>
      </c>
      <c r="D151" s="365" t="e">
        <f>IF(ISNUMBER(C151),VLOOKUP(B151,Productos!$A$2:$G$111,7,FALSE),0)</f>
        <v>#N/A</v>
      </c>
      <c r="E151" s="365" t="e">
        <f>IF(B151&lt;&gt;"",VLOOKUP(B151,Productos!$A$2:$G$116,6,FALSE),0)</f>
        <v>#N/A</v>
      </c>
      <c r="F151" s="365"/>
      <c r="G151" s="365" t="e">
        <f>IF(B151="Caja + Backlight",'NV CAJAS (BL)'!L61+TablaValoresProducto[[#This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total]]/G44+TablaValoresProducto[[#This Row],[Estructura]]+TablaValoresProducto[[#This Row],[Terminaciones]]+TablaValoresProducto[[#This Row],[Otros x1]],0))</f>
        <v>#DIV/0!</v>
      </c>
      <c r="H151" s="442">
        <f t="shared" si="26"/>
        <v>0</v>
      </c>
      <c r="I151" s="365" t="e">
        <f>TablaValoresProducto[[#This Row],[Valor impresion total]]/G44</f>
        <v>#DIV/0!</v>
      </c>
      <c r="Z151" s="330"/>
      <c r="AA151" s="334"/>
      <c r="AB151" s="334"/>
      <c r="AC151" s="272"/>
      <c r="AD151" s="124"/>
      <c r="AE151" s="152"/>
      <c r="AJ151" s="152"/>
      <c r="AK151" s="352"/>
    </row>
    <row r="152" spans="1:37" ht="15.75">
      <c r="A152" s="323">
        <v>36</v>
      </c>
      <c r="B152" s="448">
        <f t="shared" si="24"/>
        <v>0</v>
      </c>
      <c r="C152" s="365">
        <f t="shared" si="25"/>
        <v>0</v>
      </c>
      <c r="D152" s="365" t="e">
        <f>IF(ISNUMBER(C152),VLOOKUP(B152,Productos!$A$2:$G$111,7,FALSE),0)</f>
        <v>#N/A</v>
      </c>
      <c r="E152" s="365" t="e">
        <f>IF(B152&lt;&gt;"",VLOOKUP(B152,Productos!$A$2:$G$116,6,FALSE),0)</f>
        <v>#N/A</v>
      </c>
      <c r="F152" s="365"/>
      <c r="G152" s="365" t="e">
        <f>IF(B152="Caja + Backlight",'NV CAJAS (BL)'!L62+TablaValoresProducto[[#This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total]]/G45+TablaValoresProducto[[#This Row],[Estructura]]+TablaValoresProducto[[#This Row],[Terminaciones]]+TablaValoresProducto[[#This Row],[Otros x1]],0))</f>
        <v>#DIV/0!</v>
      </c>
      <c r="H152" s="442">
        <f t="shared" si="26"/>
        <v>0</v>
      </c>
      <c r="I152" s="365" t="e">
        <f>TablaValoresProducto[[#This Row],[Valor impresion total]]/G45</f>
        <v>#DIV/0!</v>
      </c>
      <c r="Z152" s="330"/>
      <c r="AA152" s="334"/>
      <c r="AB152" s="334"/>
      <c r="AC152" s="272"/>
      <c r="AD152" s="124"/>
      <c r="AE152" s="152"/>
      <c r="AJ152" s="152"/>
      <c r="AK152" s="352"/>
    </row>
    <row r="153" spans="1:37" ht="15.75">
      <c r="A153" s="323">
        <v>37</v>
      </c>
      <c r="B153" s="448">
        <f t="shared" si="24"/>
        <v>0</v>
      </c>
      <c r="C153" s="365">
        <f t="shared" si="25"/>
        <v>0</v>
      </c>
      <c r="D153" s="365" t="e">
        <f>IF(ISNUMBER(C153),VLOOKUP(B153,Productos!$A$2:$G$111,7,FALSE),0)</f>
        <v>#N/A</v>
      </c>
      <c r="E153" s="365" t="e">
        <f>IF(B153&lt;&gt;"",VLOOKUP(B153,Productos!$A$2:$G$116,6,FALSE),0)</f>
        <v>#N/A</v>
      </c>
      <c r="F153" s="365"/>
      <c r="G153" s="365" t="e">
        <f>IF(B153="Caja + Backlight",'NV CAJAS (BL)'!L63+TablaValoresProducto[[#This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total]]/G46+TablaValoresProducto[[#This Row],[Estructura]]+TablaValoresProducto[[#This Row],[Terminaciones]]+TablaValoresProducto[[#This Row],[Otros x1]],0))</f>
        <v>#DIV/0!</v>
      </c>
      <c r="H153" s="442">
        <f t="shared" si="26"/>
        <v>0</v>
      </c>
      <c r="I153" s="365" t="e">
        <f>TablaValoresProducto[[#This Row],[Valor impresion total]]/G46</f>
        <v>#DIV/0!</v>
      </c>
      <c r="Z153" s="330"/>
      <c r="AA153" s="334"/>
      <c r="AB153" s="334"/>
      <c r="AC153" s="272"/>
      <c r="AD153" s="124"/>
      <c r="AE153" s="152"/>
      <c r="AJ153" s="152"/>
      <c r="AK153" s="352"/>
    </row>
    <row r="154" spans="1:37" ht="15.75">
      <c r="A154" s="323">
        <v>38</v>
      </c>
      <c r="B154" s="448">
        <f t="shared" si="24"/>
        <v>0</v>
      </c>
      <c r="C154" s="365">
        <f t="shared" si="25"/>
        <v>0</v>
      </c>
      <c r="D154" s="365" t="e">
        <f>IF(ISNUMBER(C154),VLOOKUP(B154,Productos!$A$2:$G$111,7,FALSE),0)</f>
        <v>#N/A</v>
      </c>
      <c r="E154" s="365" t="e">
        <f>IF(B154&lt;&gt;"",VLOOKUP(B154,Productos!$A$2:$G$116,6,FALSE),0)</f>
        <v>#N/A</v>
      </c>
      <c r="F154" s="365"/>
      <c r="G154" s="365" t="e">
        <f>IF(B154="Caja + Backlight",'NV CAJAS (BL)'!L64+TablaValoresProducto[[#This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total]]/G47+TablaValoresProducto[[#This Row],[Estructura]]+TablaValoresProducto[[#This Row],[Terminaciones]]+TablaValoresProducto[[#This Row],[Otros x1]],0))</f>
        <v>#DIV/0!</v>
      </c>
      <c r="H154" s="442">
        <f t="shared" si="26"/>
        <v>0</v>
      </c>
      <c r="I154" s="365" t="e">
        <f>TablaValoresProducto[[#This Row],[Valor impresion total]]/G47</f>
        <v>#DIV/0!</v>
      </c>
      <c r="Z154" s="330"/>
      <c r="AA154" s="334"/>
      <c r="AB154" s="334"/>
      <c r="AC154" s="272"/>
      <c r="AD154" s="124"/>
      <c r="AE154" s="152"/>
      <c r="AJ154" s="152"/>
      <c r="AK154" s="352"/>
    </row>
    <row r="155" spans="1:37" ht="15.75">
      <c r="A155" s="323">
        <v>39</v>
      </c>
      <c r="B155" s="448">
        <f t="shared" si="24"/>
        <v>0</v>
      </c>
      <c r="C155" s="365">
        <f t="shared" si="25"/>
        <v>0</v>
      </c>
      <c r="D155" s="365" t="e">
        <f>IF(ISNUMBER(C155),VLOOKUP(B155,Productos!$A$2:$G$111,7,FALSE),0)</f>
        <v>#N/A</v>
      </c>
      <c r="E155" s="365" t="e">
        <f>IF(B155&lt;&gt;"",VLOOKUP(B155,Productos!$A$2:$G$116,6,FALSE),0)</f>
        <v>#N/A</v>
      </c>
      <c r="F155" s="365"/>
      <c r="G155" s="365" t="e">
        <f>IF(B155="Caja + Backlight",'NV CAJAS (BL)'!L65+TablaValoresProducto[[#This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total]]/G48+TablaValoresProducto[[#This Row],[Estructura]]+TablaValoresProducto[[#This Row],[Terminaciones]]+TablaValoresProducto[[#This Row],[Otros x1]],0))</f>
        <v>#DIV/0!</v>
      </c>
      <c r="H155" s="442">
        <f t="shared" si="26"/>
        <v>0</v>
      </c>
      <c r="I155" s="365" t="e">
        <f>TablaValoresProducto[[#This Row],[Valor impresion total]]/G48</f>
        <v>#DIV/0!</v>
      </c>
      <c r="Z155" s="330"/>
      <c r="AA155" s="334"/>
      <c r="AB155" s="334"/>
      <c r="AC155" s="272"/>
      <c r="AD155" s="124"/>
      <c r="AE155" s="152"/>
      <c r="AJ155" s="152"/>
      <c r="AK155" s="352"/>
    </row>
    <row r="156" spans="1:37" ht="15.75">
      <c r="A156" s="323">
        <v>40</v>
      </c>
      <c r="B156" s="448">
        <f t="shared" si="24"/>
        <v>0</v>
      </c>
      <c r="C156" s="365">
        <f t="shared" si="25"/>
        <v>0</v>
      </c>
      <c r="D156" s="365" t="e">
        <f>IF(ISNUMBER(C156),VLOOKUP(B156,Productos!$A$2:$G$111,7,FALSE),0)</f>
        <v>#N/A</v>
      </c>
      <c r="E156" s="365" t="e">
        <f>IF(B156&lt;&gt;"",VLOOKUP(B156,Productos!$A$2:$G$116,6,FALSE),0)</f>
        <v>#N/A</v>
      </c>
      <c r="F156" s="365"/>
      <c r="G156" s="365" t="e">
        <f>IF(B156="Caja + Backlight",'NV CAJAS (BL)'!L66+TablaValoresProducto[[#This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total]]/G49+TablaValoresProducto[[#This Row],[Estructura]]+TablaValoresProducto[[#This Row],[Terminaciones]]+TablaValoresProducto[[#This Row],[Otros x1]],0))</f>
        <v>#DIV/0!</v>
      </c>
      <c r="H156" s="442">
        <f t="shared" si="26"/>
        <v>0</v>
      </c>
      <c r="I156" s="365" t="e">
        <f>TablaValoresProducto[[#This Row],[Valor impresion total]]/G49</f>
        <v>#DIV/0!</v>
      </c>
      <c r="Z156" s="330"/>
      <c r="AA156" s="334"/>
      <c r="AB156" s="334"/>
      <c r="AC156" s="272"/>
      <c r="AD156" s="124"/>
      <c r="AE156" s="152"/>
      <c r="AJ156" s="152"/>
      <c r="AK156" s="352"/>
    </row>
    <row r="157" spans="1:37" ht="15.75">
      <c r="A157" s="323">
        <v>41</v>
      </c>
      <c r="B157" s="448">
        <f t="shared" si="24"/>
        <v>0</v>
      </c>
      <c r="C157" s="365">
        <f t="shared" si="25"/>
        <v>0</v>
      </c>
      <c r="D157" s="365" t="e">
        <f>IF(ISNUMBER(C157),VLOOKUP(B157,Productos!$A$2:$G$111,7,FALSE),0)</f>
        <v>#N/A</v>
      </c>
      <c r="E157" s="365" t="e">
        <f>IF(B157&lt;&gt;"",VLOOKUP(B157,Productos!$A$2:$G$116,6,FALSE),0)</f>
        <v>#N/A</v>
      </c>
      <c r="F157" s="365"/>
      <c r="G157" s="365" t="e">
        <f>IF(B157="Caja + Backlight",'NV CAJAS (BL)'!L67+TablaValoresProducto[[#This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total]]/G50+TablaValoresProducto[[#This Row],[Estructura]]+TablaValoresProducto[[#This Row],[Terminaciones]]+TablaValoresProducto[[#This Row],[Otros x1]],0))</f>
        <v>#DIV/0!</v>
      </c>
      <c r="H157" s="442">
        <f t="shared" si="26"/>
        <v>0</v>
      </c>
      <c r="I157" s="365" t="e">
        <f>TablaValoresProducto[[#This Row],[Valor impresion total]]/G50</f>
        <v>#DIV/0!</v>
      </c>
      <c r="Z157" s="330"/>
      <c r="AA157" s="334"/>
      <c r="AB157" s="334"/>
      <c r="AC157" s="272"/>
      <c r="AD157" s="124"/>
      <c r="AE157" s="152"/>
      <c r="AJ157" s="152"/>
      <c r="AK157" s="352"/>
    </row>
    <row r="158" spans="1:37" ht="15.75">
      <c r="A158" s="323">
        <v>42</v>
      </c>
      <c r="B158" s="448">
        <f t="shared" si="24"/>
        <v>0</v>
      </c>
      <c r="C158" s="365">
        <f t="shared" si="25"/>
        <v>0</v>
      </c>
      <c r="D158" s="365" t="e">
        <f>IF(ISNUMBER(C158),VLOOKUP(B158,Productos!$A$2:$G$111,7,FALSE),0)</f>
        <v>#N/A</v>
      </c>
      <c r="E158" s="365" t="e">
        <f>IF(B158&lt;&gt;"",VLOOKUP(B158,Productos!$A$2:$G$116,6,FALSE),0)</f>
        <v>#N/A</v>
      </c>
      <c r="F158" s="365"/>
      <c r="G158" s="365" t="e">
        <f>IF(B158="Caja + Backlight",'NV CAJAS (BL)'!L68+TablaValoresProducto[[#This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total]]/G51+TablaValoresProducto[[#This Row],[Estructura]]+TablaValoresProducto[[#This Row],[Terminaciones]]+TablaValoresProducto[[#This Row],[Otros x1]],0))</f>
        <v>#DIV/0!</v>
      </c>
      <c r="H158" s="442">
        <f t="shared" si="26"/>
        <v>0</v>
      </c>
      <c r="I158" s="365" t="e">
        <f>TablaValoresProducto[[#This Row],[Valor impresion total]]/G51</f>
        <v>#DIV/0!</v>
      </c>
      <c r="Z158" s="330"/>
      <c r="AA158" s="334"/>
      <c r="AB158" s="334"/>
      <c r="AC158" s="272"/>
      <c r="AD158" s="124"/>
      <c r="AE158" s="152"/>
      <c r="AJ158" s="152"/>
      <c r="AK158" s="352"/>
    </row>
    <row r="159" spans="1:37" ht="15.75">
      <c r="A159" s="323">
        <v>43</v>
      </c>
      <c r="B159" s="448">
        <f t="shared" si="24"/>
        <v>0</v>
      </c>
      <c r="C159" s="365">
        <f t="shared" si="25"/>
        <v>0</v>
      </c>
      <c r="D159" s="365" t="e">
        <f>IF(ISNUMBER(C159),VLOOKUP(B159,Productos!$A$2:$G$111,7,FALSE),0)</f>
        <v>#N/A</v>
      </c>
      <c r="E159" s="365" t="e">
        <f>IF(B159&lt;&gt;"",VLOOKUP(B159,Productos!$A$2:$G$116,6,FALSE),0)</f>
        <v>#N/A</v>
      </c>
      <c r="F159" s="365"/>
      <c r="G159" s="365" t="e">
        <f>IF(B159="Caja + Backlight",'NV CAJAS (BL)'!L69+TablaValoresProducto[[#This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total]]/G52+TablaValoresProducto[[#This Row],[Estructura]]+TablaValoresProducto[[#This Row],[Terminaciones]]+TablaValoresProducto[[#This Row],[Otros x1]],0))</f>
        <v>#DIV/0!</v>
      </c>
      <c r="H159" s="442">
        <f t="shared" si="26"/>
        <v>0</v>
      </c>
      <c r="I159" s="365" t="e">
        <f>TablaValoresProducto[[#This Row],[Valor impresion total]]/G52</f>
        <v>#DIV/0!</v>
      </c>
      <c r="Z159" s="330"/>
      <c r="AA159" s="334"/>
      <c r="AB159" s="334"/>
      <c r="AC159" s="272"/>
      <c r="AD159" s="124"/>
      <c r="AE159" s="152"/>
      <c r="AJ159" s="152"/>
      <c r="AK159" s="352"/>
    </row>
    <row r="160" spans="1:37" ht="15.75">
      <c r="A160" s="323">
        <v>44</v>
      </c>
      <c r="B160" s="448">
        <f t="shared" si="24"/>
        <v>0</v>
      </c>
      <c r="C160" s="365">
        <f t="shared" si="25"/>
        <v>0</v>
      </c>
      <c r="D160" s="365" t="e">
        <f>IF(ISNUMBER(C160),VLOOKUP(B160,Productos!$A$2:$G$111,7,FALSE),0)</f>
        <v>#N/A</v>
      </c>
      <c r="E160" s="365" t="e">
        <f>IF(B160&lt;&gt;"",VLOOKUP(B160,Productos!$A$2:$G$116,6,FALSE),0)</f>
        <v>#N/A</v>
      </c>
      <c r="F160" s="365"/>
      <c r="G160" s="365" t="e">
        <f>IF(B160="Caja + Backlight",'NV CAJAS (BL)'!L70+TablaValoresProducto[[#This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total]]/G53+TablaValoresProducto[[#This Row],[Estructura]]+TablaValoresProducto[[#This Row],[Terminaciones]]+TablaValoresProducto[[#This Row],[Otros x1]],0))</f>
        <v>#DIV/0!</v>
      </c>
      <c r="H160" s="442">
        <f t="shared" si="26"/>
        <v>0</v>
      </c>
      <c r="I160" s="365" t="e">
        <f>TablaValoresProducto[[#This Row],[Valor impresion total]]/G53</f>
        <v>#DIV/0!</v>
      </c>
      <c r="Z160" s="330"/>
      <c r="AA160" s="334"/>
      <c r="AB160" s="334"/>
      <c r="AC160" s="272"/>
      <c r="AD160" s="124"/>
      <c r="AE160" s="152"/>
      <c r="AJ160" s="152"/>
      <c r="AK160" s="352"/>
    </row>
    <row r="161" spans="1:37" ht="15.75">
      <c r="A161" s="323">
        <v>45</v>
      </c>
      <c r="B161" s="448">
        <f t="shared" si="24"/>
        <v>0</v>
      </c>
      <c r="C161" s="365">
        <f t="shared" si="25"/>
        <v>0</v>
      </c>
      <c r="D161" s="365" t="e">
        <f>IF(ISNUMBER(C161),VLOOKUP(B161,Productos!$A$2:$G$111,7,FALSE),0)</f>
        <v>#N/A</v>
      </c>
      <c r="E161" s="365" t="e">
        <f>IF(B161&lt;&gt;"",VLOOKUP(B161,Productos!$A$2:$G$116,6,FALSE),0)</f>
        <v>#N/A</v>
      </c>
      <c r="F161" s="365"/>
      <c r="G161" s="365" t="e">
        <f>IF(B161="Caja + Backlight",'NV CAJAS (BL)'!L71+TablaValoresProducto[[#This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total]]/G54+TablaValoresProducto[[#This Row],[Estructura]]+TablaValoresProducto[[#This Row],[Terminaciones]]+TablaValoresProducto[[#This Row],[Otros x1]],0))</f>
        <v>#DIV/0!</v>
      </c>
      <c r="H161" s="442">
        <f t="shared" si="26"/>
        <v>0</v>
      </c>
      <c r="I161" s="365" t="e">
        <f>TablaValoresProducto[[#This Row],[Valor impresion total]]/G54</f>
        <v>#DIV/0!</v>
      </c>
      <c r="Z161" s="330"/>
      <c r="AA161" s="334"/>
      <c r="AB161" s="334"/>
      <c r="AC161" s="272"/>
      <c r="AD161" s="124"/>
      <c r="AE161" s="152"/>
      <c r="AJ161" s="152"/>
      <c r="AK161" s="352"/>
    </row>
    <row r="162" spans="1:37" ht="15.75">
      <c r="A162" s="323">
        <v>46</v>
      </c>
      <c r="B162" s="448">
        <f t="shared" si="24"/>
        <v>0</v>
      </c>
      <c r="C162" s="365">
        <f t="shared" si="25"/>
        <v>0</v>
      </c>
      <c r="D162" s="365" t="e">
        <f>IF(ISNUMBER(C162),VLOOKUP(B162,Productos!$A$2:$G$111,7,FALSE),0)</f>
        <v>#N/A</v>
      </c>
      <c r="E162" s="365" t="e">
        <f>IF(B162&lt;&gt;"",VLOOKUP(B162,Productos!$A$2:$G$116,6,FALSE),0)</f>
        <v>#N/A</v>
      </c>
      <c r="F162" s="365"/>
      <c r="G162" s="365" t="e">
        <f>IF(B162="Caja + Backlight",'NV CAJAS (BL)'!L72+TablaValoresProducto[[#This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total]]/G55+TablaValoresProducto[[#This Row],[Estructura]]+TablaValoresProducto[[#This Row],[Terminaciones]]+TablaValoresProducto[[#This Row],[Otros x1]],0))</f>
        <v>#DIV/0!</v>
      </c>
      <c r="H162" s="442">
        <f t="shared" si="26"/>
        <v>0</v>
      </c>
      <c r="I162" s="365" t="e">
        <f>TablaValoresProducto[[#This Row],[Valor impresion total]]/G55</f>
        <v>#DIV/0!</v>
      </c>
      <c r="Z162" s="330"/>
      <c r="AA162" s="334"/>
      <c r="AB162" s="334"/>
      <c r="AC162" s="272"/>
      <c r="AD162" s="124"/>
      <c r="AE162" s="152"/>
      <c r="AJ162" s="152"/>
      <c r="AK162" s="352"/>
    </row>
    <row r="163" spans="1:37" ht="15.75">
      <c r="A163" s="323">
        <v>47</v>
      </c>
      <c r="B163" s="448">
        <f t="shared" si="24"/>
        <v>0</v>
      </c>
      <c r="C163" s="365">
        <f t="shared" si="25"/>
        <v>0</v>
      </c>
      <c r="D163" s="365" t="e">
        <f>IF(ISNUMBER(C163),VLOOKUP(B163,Productos!$A$2:$G$111,7,FALSE),0)</f>
        <v>#N/A</v>
      </c>
      <c r="E163" s="365" t="e">
        <f>IF(B163&lt;&gt;"",VLOOKUP(B163,Productos!$A$2:$G$116,6,FALSE),0)</f>
        <v>#N/A</v>
      </c>
      <c r="F163" s="365"/>
      <c r="G163" s="365" t="e">
        <f>IF(B163="Caja + Backlight",'NV CAJAS (BL)'!L73+TablaValoresProducto[[#This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total]]/G56+TablaValoresProducto[[#This Row],[Estructura]]+TablaValoresProducto[[#This Row],[Terminaciones]]+TablaValoresProducto[[#This Row],[Otros x1]],0))</f>
        <v>#DIV/0!</v>
      </c>
      <c r="H163" s="442">
        <f t="shared" si="26"/>
        <v>0</v>
      </c>
      <c r="I163" s="365" t="e">
        <f>TablaValoresProducto[[#This Row],[Valor impresion total]]/G56</f>
        <v>#DIV/0!</v>
      </c>
      <c r="Z163" s="330"/>
      <c r="AA163" s="334"/>
      <c r="AB163" s="334"/>
      <c r="AC163" s="272"/>
      <c r="AD163" s="124"/>
      <c r="AE163" s="152"/>
      <c r="AJ163" s="152"/>
      <c r="AK163" s="352"/>
    </row>
    <row r="164" spans="1:37" ht="15.75">
      <c r="A164" s="323">
        <v>48</v>
      </c>
      <c r="B164" s="448">
        <f t="shared" si="24"/>
        <v>0</v>
      </c>
      <c r="C164" s="365">
        <f t="shared" si="25"/>
        <v>0</v>
      </c>
      <c r="D164" s="365" t="e">
        <f>IF(ISNUMBER(C164),VLOOKUP(B164,Productos!$A$2:$G$111,7,FALSE),0)</f>
        <v>#N/A</v>
      </c>
      <c r="E164" s="365" t="e">
        <f>IF(B164&lt;&gt;"",VLOOKUP(B164,Productos!$A$2:$G$116,6,FALSE),0)</f>
        <v>#N/A</v>
      </c>
      <c r="F164" s="365"/>
      <c r="G164" s="365" t="e">
        <f>IF(B164="Caja + Backlight",'NV CAJAS (BL)'!L74+TablaValoresProducto[[#This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total]]/G57+TablaValoresProducto[[#This Row],[Estructura]]+TablaValoresProducto[[#This Row],[Terminaciones]]+TablaValoresProducto[[#This Row],[Otros x1]],0))</f>
        <v>#DIV/0!</v>
      </c>
      <c r="H164" s="442">
        <f t="shared" si="26"/>
        <v>0</v>
      </c>
      <c r="I164" s="365" t="e">
        <f>TablaValoresProducto[[#This Row],[Valor impresion total]]/G57</f>
        <v>#DIV/0!</v>
      </c>
      <c r="Z164" s="330"/>
      <c r="AA164" s="334"/>
      <c r="AB164" s="334"/>
      <c r="AC164" s="272"/>
      <c r="AD164" s="124"/>
      <c r="AE164" s="152"/>
      <c r="AJ164" s="152"/>
      <c r="AK164" s="352"/>
    </row>
    <row r="165" spans="1:37" ht="15.75">
      <c r="A165" s="323">
        <v>49</v>
      </c>
      <c r="B165" s="448">
        <f t="shared" si="24"/>
        <v>0</v>
      </c>
      <c r="C165" s="365">
        <f t="shared" si="25"/>
        <v>0</v>
      </c>
      <c r="D165" s="365" t="e">
        <f>IF(ISNUMBER(C165),VLOOKUP(B165,Productos!$A$2:$G$111,7,FALSE),0)</f>
        <v>#N/A</v>
      </c>
      <c r="E165" s="365" t="e">
        <f>IF(B165&lt;&gt;"",VLOOKUP(B165,Productos!$A$2:$G$116,6,FALSE),0)</f>
        <v>#N/A</v>
      </c>
      <c r="F165" s="365"/>
      <c r="G165" s="365" t="e">
        <f>IF(B165="Caja + Backlight",'NV CAJAS (BL)'!L75+TablaValoresProducto[[#This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total]]/G58+TablaValoresProducto[[#This Row],[Estructura]]+TablaValoresProducto[[#This Row],[Terminaciones]]+TablaValoresProducto[[#This Row],[Otros x1]],0))</f>
        <v>#DIV/0!</v>
      </c>
      <c r="H165" s="442">
        <f t="shared" si="26"/>
        <v>0</v>
      </c>
      <c r="I165" s="365" t="e">
        <f>TablaValoresProducto[[#This Row],[Valor impresion total]]/G58</f>
        <v>#DIV/0!</v>
      </c>
      <c r="Z165" s="330"/>
      <c r="AA165" s="334"/>
      <c r="AB165" s="334"/>
      <c r="AC165" s="272"/>
      <c r="AD165" s="124"/>
      <c r="AE165" s="152"/>
      <c r="AJ165" s="152"/>
      <c r="AK165" s="352"/>
    </row>
    <row r="166" spans="1:37" ht="15.75">
      <c r="A166" s="323">
        <v>50</v>
      </c>
      <c r="B166" s="448">
        <f t="shared" si="24"/>
        <v>0</v>
      </c>
      <c r="C166" s="365">
        <f t="shared" si="25"/>
        <v>0</v>
      </c>
      <c r="D166" s="365" t="e">
        <f>IF(ISNUMBER(C166),VLOOKUP(B166,Productos!$A$2:$G$111,7,FALSE),0)</f>
        <v>#N/A</v>
      </c>
      <c r="E166" s="365" t="e">
        <f>IF(B166&lt;&gt;"",VLOOKUP(B166,Productos!$A$2:$G$116,6,FALSE),0)</f>
        <v>#N/A</v>
      </c>
      <c r="F166" s="365"/>
      <c r="G166" s="365" t="e">
        <f>IF(B166="Caja + Backlight",'NV CAJAS (BL)'!L76+TablaValoresProducto[[#This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total]]/G59+TablaValoresProducto[[#This Row],[Estructura]]+TablaValoresProducto[[#This Row],[Terminaciones]]+TablaValoresProducto[[#This Row],[Otros x1]],0))</f>
        <v>#DIV/0!</v>
      </c>
      <c r="H166" s="442">
        <f t="shared" si="26"/>
        <v>0</v>
      </c>
      <c r="I166" s="365" t="e">
        <f>TablaValoresProducto[[#This Row],[Valor impresion total]]/G59</f>
        <v>#DIV/0!</v>
      </c>
      <c r="Z166" s="330"/>
      <c r="AA166" s="334"/>
      <c r="AB166" s="334"/>
      <c r="AC166" s="272"/>
      <c r="AD166" s="124"/>
      <c r="AE166" s="152"/>
      <c r="AJ166" s="152"/>
      <c r="AK166" s="352"/>
    </row>
    <row r="167" spans="1:37" ht="15.75">
      <c r="A167" s="323">
        <v>51</v>
      </c>
      <c r="B167" s="448">
        <f t="shared" si="24"/>
        <v>0</v>
      </c>
      <c r="C167" s="365">
        <f t="shared" si="25"/>
        <v>0</v>
      </c>
      <c r="D167" s="365" t="e">
        <f>IF(ISNUMBER(C167),VLOOKUP(B167,Productos!$A$2:$G$111,7,FALSE),0)</f>
        <v>#N/A</v>
      </c>
      <c r="E167" s="365" t="e">
        <f>IF(B167&lt;&gt;"",VLOOKUP(B167,Productos!$A$2:$G$116,6,FALSE),0)</f>
        <v>#N/A</v>
      </c>
      <c r="F167" s="365"/>
      <c r="G167" s="365" t="e">
        <f>IF(B167="Caja + Backlight",'NV CAJAS (BL)'!L77+TablaValoresProducto[[#This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total]]/G60+TablaValoresProducto[[#This Row],[Estructura]]+TablaValoresProducto[[#This Row],[Terminaciones]]+TablaValoresProducto[[#This Row],[Otros x1]],0))</f>
        <v>#DIV/0!</v>
      </c>
      <c r="H167" s="442">
        <f t="shared" si="26"/>
        <v>0</v>
      </c>
      <c r="I167" s="365" t="e">
        <f>TablaValoresProducto[[#This Row],[Valor impresion total]]/G60</f>
        <v>#DIV/0!</v>
      </c>
      <c r="Z167" s="330"/>
      <c r="AA167" s="334"/>
      <c r="AB167" s="334"/>
      <c r="AC167" s="272"/>
      <c r="AD167" s="124"/>
      <c r="AE167" s="152"/>
      <c r="AJ167" s="152"/>
      <c r="AK167" s="352"/>
    </row>
    <row r="168" spans="1:37" ht="15.75">
      <c r="A168" s="323">
        <v>52</v>
      </c>
      <c r="B168" s="448">
        <f t="shared" si="24"/>
        <v>0</v>
      </c>
      <c r="C168" s="365">
        <f t="shared" si="25"/>
        <v>0</v>
      </c>
      <c r="D168" s="365" t="e">
        <f>IF(ISNUMBER(C168),VLOOKUP(B168,Productos!$A$2:$G$111,7,FALSE),0)</f>
        <v>#N/A</v>
      </c>
      <c r="E168" s="365" t="e">
        <f>IF(B168&lt;&gt;"",VLOOKUP(B168,Productos!$A$2:$G$116,6,FALSE),0)</f>
        <v>#N/A</v>
      </c>
      <c r="F168" s="365"/>
      <c r="G168" s="365" t="e">
        <f>IF(B168="Caja + Backlight",'NV CAJAS (BL)'!L78+TablaValoresProducto[[#This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total]]/G61+TablaValoresProducto[[#This Row],[Estructura]]+TablaValoresProducto[[#This Row],[Terminaciones]]+TablaValoresProducto[[#This Row],[Otros x1]],0))</f>
        <v>#DIV/0!</v>
      </c>
      <c r="H168" s="442">
        <f t="shared" si="26"/>
        <v>0</v>
      </c>
      <c r="I168" s="365" t="e">
        <f>TablaValoresProducto[[#This Row],[Valor impresion total]]/G61</f>
        <v>#DIV/0!</v>
      </c>
      <c r="Z168" s="330"/>
      <c r="AA168" s="334"/>
      <c r="AB168" s="334"/>
      <c r="AC168" s="272"/>
      <c r="AD168" s="124"/>
      <c r="AE168" s="152"/>
      <c r="AJ168" s="152"/>
      <c r="AK168" s="352"/>
    </row>
    <row r="169" spans="1:37" ht="15.75">
      <c r="A169" s="323">
        <v>53</v>
      </c>
      <c r="B169" s="448">
        <f t="shared" si="24"/>
        <v>0</v>
      </c>
      <c r="C169" s="365">
        <f t="shared" si="25"/>
        <v>0</v>
      </c>
      <c r="D169" s="365" t="e">
        <f>IF(ISNUMBER(C169),VLOOKUP(B169,Productos!$A$2:$G$111,7,FALSE),0)</f>
        <v>#N/A</v>
      </c>
      <c r="E169" s="365" t="e">
        <f>IF(B169&lt;&gt;"",VLOOKUP(B169,Productos!$A$2:$G$116,6,FALSE),0)</f>
        <v>#N/A</v>
      </c>
      <c r="F169" s="365"/>
      <c r="G169" s="365" t="e">
        <f>IF(B169="Caja + Backlight",'NV CAJAS (BL)'!L79+TablaValoresProducto[[#This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total]]/G62+TablaValoresProducto[[#This Row],[Estructura]]+TablaValoresProducto[[#This Row],[Terminaciones]]+TablaValoresProducto[[#This Row],[Otros x1]],0))</f>
        <v>#DIV/0!</v>
      </c>
      <c r="H169" s="442">
        <f t="shared" si="26"/>
        <v>0</v>
      </c>
      <c r="I169" s="365" t="e">
        <f>TablaValoresProducto[[#This Row],[Valor impresion total]]/G62</f>
        <v>#DIV/0!</v>
      </c>
      <c r="Z169" s="330"/>
      <c r="AA169" s="334"/>
      <c r="AB169" s="334"/>
      <c r="AC169" s="272"/>
      <c r="AD169" s="124"/>
      <c r="AE169" s="152"/>
      <c r="AJ169" s="152"/>
      <c r="AK169" s="352"/>
    </row>
    <row r="170" spans="1:37" ht="15.75">
      <c r="A170" s="323">
        <v>54</v>
      </c>
      <c r="B170" s="448">
        <f t="shared" si="24"/>
        <v>0</v>
      </c>
      <c r="C170" s="365">
        <f t="shared" si="25"/>
        <v>0</v>
      </c>
      <c r="D170" s="365" t="e">
        <f>IF(ISNUMBER(C170),VLOOKUP(B170,Productos!$A$2:$G$111,7,FALSE),0)</f>
        <v>#N/A</v>
      </c>
      <c r="E170" s="365" t="e">
        <f>IF(B170&lt;&gt;"",VLOOKUP(B170,Productos!$A$2:$G$116,6,FALSE),0)</f>
        <v>#N/A</v>
      </c>
      <c r="F170" s="365"/>
      <c r="G170" s="365" t="e">
        <f>IF(B170="Caja + Backlight",'NV CAJAS (BL)'!L80+TablaValoresProducto[[#This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total]]/G63+TablaValoresProducto[[#This Row],[Estructura]]+TablaValoresProducto[[#This Row],[Terminaciones]]+TablaValoresProducto[[#This Row],[Otros x1]],0))</f>
        <v>#DIV/0!</v>
      </c>
      <c r="H170" s="442">
        <f t="shared" si="26"/>
        <v>0</v>
      </c>
      <c r="I170" s="365" t="e">
        <f>TablaValoresProducto[[#This Row],[Valor impresion total]]/G63</f>
        <v>#DIV/0!</v>
      </c>
      <c r="Z170" s="330"/>
      <c r="AA170" s="334"/>
      <c r="AB170" s="334"/>
      <c r="AC170" s="272"/>
      <c r="AD170" s="124"/>
      <c r="AE170" s="152"/>
      <c r="AJ170" s="152"/>
      <c r="AK170" s="352"/>
    </row>
    <row r="171" spans="1:37" ht="15.75">
      <c r="A171" s="323">
        <v>55</v>
      </c>
      <c r="B171" s="448">
        <f t="shared" si="24"/>
        <v>0</v>
      </c>
      <c r="C171" s="365">
        <f t="shared" si="25"/>
        <v>0</v>
      </c>
      <c r="D171" s="365" t="e">
        <f>IF(ISNUMBER(C171),VLOOKUP(B171,Productos!$A$2:$G$111,7,FALSE),0)</f>
        <v>#N/A</v>
      </c>
      <c r="E171" s="365" t="e">
        <f>IF(B171&lt;&gt;"",VLOOKUP(B171,Productos!$A$2:$G$116,6,FALSE),0)</f>
        <v>#N/A</v>
      </c>
      <c r="F171" s="365"/>
      <c r="G171" s="365" t="e">
        <f>IF(B171="Caja + Backlight",'NV CAJAS (BL)'!L81+TablaValoresProducto[[#This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total]]/G64+TablaValoresProducto[[#This Row],[Estructura]]+TablaValoresProducto[[#This Row],[Terminaciones]]+TablaValoresProducto[[#This Row],[Otros x1]],0))</f>
        <v>#DIV/0!</v>
      </c>
      <c r="H171" s="442">
        <f t="shared" si="26"/>
        <v>0</v>
      </c>
      <c r="I171" s="365" t="e">
        <f>TablaValoresProducto[[#This Row],[Valor impresion total]]/G64</f>
        <v>#DIV/0!</v>
      </c>
      <c r="Z171" s="330"/>
      <c r="AA171" s="334"/>
      <c r="AB171" s="334"/>
      <c r="AC171" s="272"/>
      <c r="AD171" s="124"/>
      <c r="AE171" s="152"/>
      <c r="AJ171" s="152"/>
      <c r="AK171" s="352"/>
    </row>
    <row r="172" spans="1:37" ht="15.75">
      <c r="A172" s="323">
        <v>56</v>
      </c>
      <c r="B172" s="448">
        <f t="shared" si="24"/>
        <v>0</v>
      </c>
      <c r="C172" s="365">
        <f t="shared" si="25"/>
        <v>0</v>
      </c>
      <c r="D172" s="365" t="e">
        <f>IF(ISNUMBER(C172),VLOOKUP(B172,Productos!$A$2:$G$111,7,FALSE),0)</f>
        <v>#N/A</v>
      </c>
      <c r="E172" s="365" t="e">
        <f>IF(B172&lt;&gt;"",VLOOKUP(B172,Productos!$A$2:$G$116,6,FALSE),0)</f>
        <v>#N/A</v>
      </c>
      <c r="F172" s="365"/>
      <c r="G172" s="365" t="e">
        <f>IF(B172="Caja + Backlight",'NV CAJAS (BL)'!L82+TablaValoresProducto[[#This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total]]/G65+TablaValoresProducto[[#This Row],[Estructura]]+TablaValoresProducto[[#This Row],[Terminaciones]]+TablaValoresProducto[[#This Row],[Otros x1]],0))</f>
        <v>#DIV/0!</v>
      </c>
      <c r="H172" s="442">
        <f t="shared" si="26"/>
        <v>0</v>
      </c>
      <c r="I172" s="365" t="e">
        <f>TablaValoresProducto[[#This Row],[Valor impresion total]]/G65</f>
        <v>#DIV/0!</v>
      </c>
      <c r="Z172" s="330"/>
      <c r="AA172" s="334"/>
      <c r="AB172" s="334"/>
      <c r="AC172" s="272"/>
      <c r="AD172" s="124"/>
      <c r="AE172" s="152"/>
      <c r="AJ172" s="152"/>
      <c r="AK172" s="352"/>
    </row>
    <row r="173" spans="1:37" ht="15.75">
      <c r="A173" s="323">
        <v>57</v>
      </c>
      <c r="B173" s="448">
        <f t="shared" si="24"/>
        <v>0</v>
      </c>
      <c r="C173" s="365">
        <f t="shared" si="25"/>
        <v>0</v>
      </c>
      <c r="D173" s="365" t="e">
        <f>IF(ISNUMBER(C173),VLOOKUP(B173,Productos!$A$2:$G$111,7,FALSE),0)</f>
        <v>#N/A</v>
      </c>
      <c r="E173" s="365" t="e">
        <f>IF(B173&lt;&gt;"",VLOOKUP(B173,Productos!$A$2:$G$116,6,FALSE),0)</f>
        <v>#N/A</v>
      </c>
      <c r="F173" s="365"/>
      <c r="G173" s="365" t="e">
        <f>IF(B173="Caja + Backlight",'NV CAJAS (BL)'!L83+TablaValoresProducto[[#This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total]]/G66+TablaValoresProducto[[#This Row],[Estructura]]+TablaValoresProducto[[#This Row],[Terminaciones]]+TablaValoresProducto[[#This Row],[Otros x1]],0))</f>
        <v>#DIV/0!</v>
      </c>
      <c r="H173" s="442">
        <f t="shared" si="26"/>
        <v>0</v>
      </c>
      <c r="I173" s="365" t="e">
        <f>TablaValoresProducto[[#This Row],[Valor impresion total]]/G66</f>
        <v>#DIV/0!</v>
      </c>
      <c r="Z173" s="330"/>
      <c r="AA173" s="334"/>
      <c r="AB173" s="334"/>
      <c r="AC173" s="272"/>
      <c r="AD173" s="124"/>
      <c r="AE173" s="152"/>
      <c r="AJ173" s="152"/>
      <c r="AK173" s="352"/>
    </row>
    <row r="174" spans="1:37" ht="15.75">
      <c r="A174" s="323">
        <v>58</v>
      </c>
      <c r="B174" s="448">
        <f t="shared" si="24"/>
        <v>0</v>
      </c>
      <c r="C174" s="365">
        <f t="shared" si="25"/>
        <v>0</v>
      </c>
      <c r="D174" s="365" t="e">
        <f>IF(ISNUMBER(C174),VLOOKUP(B174,Productos!$A$2:$G$111,7,FALSE),0)</f>
        <v>#N/A</v>
      </c>
      <c r="E174" s="365" t="e">
        <f>IF(B174&lt;&gt;"",VLOOKUP(B174,Productos!$A$2:$G$116,6,FALSE),0)</f>
        <v>#N/A</v>
      </c>
      <c r="F174" s="365"/>
      <c r="G174" s="365" t="e">
        <f>IF(B174="Caja + Backlight",'NV CAJAS (BL)'!L84+TablaValoresProducto[[#This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total]]/G67+TablaValoresProducto[[#This Row],[Estructura]]+TablaValoresProducto[[#This Row],[Terminaciones]]+TablaValoresProducto[[#This Row],[Otros x1]],0))</f>
        <v>#DIV/0!</v>
      </c>
      <c r="H174" s="442">
        <f t="shared" si="26"/>
        <v>0</v>
      </c>
      <c r="I174" s="365" t="e">
        <f>TablaValoresProducto[[#This Row],[Valor impresion total]]/G67</f>
        <v>#DIV/0!</v>
      </c>
      <c r="Z174" s="330"/>
      <c r="AA174" s="334"/>
      <c r="AB174" s="334"/>
      <c r="AC174" s="272"/>
      <c r="AD174" s="124"/>
      <c r="AE174" s="152"/>
      <c r="AJ174" s="152"/>
      <c r="AK174" s="352"/>
    </row>
    <row r="175" spans="1:37" ht="15.75">
      <c r="A175" s="323">
        <v>59</v>
      </c>
      <c r="B175" s="448">
        <f t="shared" si="24"/>
        <v>0</v>
      </c>
      <c r="C175" s="365">
        <f t="shared" si="25"/>
        <v>0</v>
      </c>
      <c r="D175" s="365" t="e">
        <f>IF(ISNUMBER(C175),VLOOKUP(B175,Productos!$A$2:$G$111,7,FALSE),0)</f>
        <v>#N/A</v>
      </c>
      <c r="E175" s="365" t="e">
        <f>IF(B175&lt;&gt;"",VLOOKUP(B175,Productos!$A$2:$G$116,6,FALSE),0)</f>
        <v>#N/A</v>
      </c>
      <c r="F175" s="365"/>
      <c r="G175" s="365" t="e">
        <f>IF(B175="Caja + Backlight",'NV CAJAS (BL)'!L85+TablaValoresProducto[[#This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total]]/G68+TablaValoresProducto[[#This Row],[Estructura]]+TablaValoresProducto[[#This Row],[Terminaciones]]+TablaValoresProducto[[#This Row],[Otros x1]],0))</f>
        <v>#DIV/0!</v>
      </c>
      <c r="H175" s="442">
        <f t="shared" si="26"/>
        <v>0</v>
      </c>
      <c r="I175" s="365" t="e">
        <f>TablaValoresProducto[[#This Row],[Valor impresion total]]/G68</f>
        <v>#DIV/0!</v>
      </c>
      <c r="Z175" s="330"/>
      <c r="AA175" s="334"/>
      <c r="AB175" s="334"/>
      <c r="AC175" s="272"/>
      <c r="AD175" s="124"/>
      <c r="AE175" s="152"/>
      <c r="AJ175" s="152"/>
      <c r="AK175" s="352"/>
    </row>
    <row r="176" spans="1:37" ht="15.75">
      <c r="A176" s="323">
        <v>60</v>
      </c>
      <c r="B176" s="448">
        <f t="shared" si="24"/>
        <v>0</v>
      </c>
      <c r="C176" s="365">
        <f t="shared" si="25"/>
        <v>0</v>
      </c>
      <c r="D176" s="365" t="e">
        <f>IF(ISNUMBER(C176),VLOOKUP(B176,Productos!$A$2:$G$111,7,FALSE),0)</f>
        <v>#N/A</v>
      </c>
      <c r="E176" s="365" t="e">
        <f>IF(B176&lt;&gt;"",VLOOKUP(B176,Productos!$A$2:$G$116,6,FALSE),0)</f>
        <v>#N/A</v>
      </c>
      <c r="F176" s="365"/>
      <c r="G176" s="365" t="e">
        <f>IF(B176="Caja + Backlight",'NV CAJAS (BL)'!L86+TablaValoresProducto[[#This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total]]/G69+TablaValoresProducto[[#This Row],[Estructura]]+TablaValoresProducto[[#This Row],[Terminaciones]]+TablaValoresProducto[[#This Row],[Otros x1]],0))</f>
        <v>#DIV/0!</v>
      </c>
      <c r="H176" s="442">
        <f t="shared" si="26"/>
        <v>0</v>
      </c>
      <c r="I176" s="365" t="e">
        <f>TablaValoresProducto[[#This Row],[Valor impresion total]]/G69</f>
        <v>#DIV/0!</v>
      </c>
      <c r="Z176" s="330"/>
      <c r="AA176" s="334"/>
      <c r="AB176" s="334"/>
      <c r="AC176" s="272"/>
      <c r="AD176" s="124"/>
      <c r="AE176" s="152"/>
      <c r="AJ176" s="152"/>
      <c r="AK176" s="352"/>
    </row>
    <row r="177" spans="1:37" ht="15.75">
      <c r="A177" s="323">
        <v>61</v>
      </c>
      <c r="B177" s="448">
        <f t="shared" si="24"/>
        <v>0</v>
      </c>
      <c r="C177" s="365">
        <f t="shared" si="25"/>
        <v>0</v>
      </c>
      <c r="D177" s="365" t="e">
        <f>IF(ISNUMBER(C177),VLOOKUP(B177,Productos!$A$2:$G$111,7,FALSE),0)</f>
        <v>#N/A</v>
      </c>
      <c r="E177" s="365" t="e">
        <f>IF(B177&lt;&gt;"",VLOOKUP(B177,Productos!$A$2:$G$116,6,FALSE),0)</f>
        <v>#N/A</v>
      </c>
      <c r="F177" s="365"/>
      <c r="G177" s="365" t="e">
        <f>IF(B177="Caja + Backlight",'NV CAJAS (BL)'!L87+TablaValoresProducto[[#This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total]]/G70+TablaValoresProducto[[#This Row],[Estructura]]+TablaValoresProducto[[#This Row],[Terminaciones]]+TablaValoresProducto[[#This Row],[Otros x1]],0))</f>
        <v>#DIV/0!</v>
      </c>
      <c r="H177" s="442">
        <f t="shared" si="26"/>
        <v>0</v>
      </c>
      <c r="I177" s="365" t="e">
        <f>TablaValoresProducto[[#This Row],[Valor impresion total]]/G70</f>
        <v>#DIV/0!</v>
      </c>
      <c r="Z177" s="330"/>
      <c r="AA177" s="334"/>
      <c r="AB177" s="334"/>
      <c r="AC177" s="272"/>
      <c r="AD177" s="124"/>
      <c r="AE177" s="152"/>
      <c r="AJ177" s="152"/>
      <c r="AK177" s="352"/>
    </row>
    <row r="178" spans="1:37" ht="15.75">
      <c r="A178" s="323">
        <v>62</v>
      </c>
      <c r="B178" s="448">
        <f t="shared" si="24"/>
        <v>0</v>
      </c>
      <c r="C178" s="365">
        <f t="shared" si="25"/>
        <v>0</v>
      </c>
      <c r="D178" s="365" t="e">
        <f>IF(ISNUMBER(C178),VLOOKUP(B178,Productos!$A$2:$G$111,7,FALSE),0)</f>
        <v>#N/A</v>
      </c>
      <c r="E178" s="365" t="e">
        <f>IF(B178&lt;&gt;"",VLOOKUP(B178,Productos!$A$2:$G$116,6,FALSE),0)</f>
        <v>#N/A</v>
      </c>
      <c r="F178" s="365"/>
      <c r="G178" s="365" t="e">
        <f>IF(B178="Caja + Backlight",'NV CAJAS (BL)'!L88+TablaValoresProducto[[#This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total]]/G71+TablaValoresProducto[[#This Row],[Estructura]]+TablaValoresProducto[[#This Row],[Terminaciones]]+TablaValoresProducto[[#This Row],[Otros x1]],0))</f>
        <v>#DIV/0!</v>
      </c>
      <c r="H178" s="442">
        <f t="shared" si="26"/>
        <v>0</v>
      </c>
      <c r="I178" s="365" t="e">
        <f>TablaValoresProducto[[#This Row],[Valor impresion total]]/G71</f>
        <v>#DIV/0!</v>
      </c>
      <c r="Z178" s="330"/>
      <c r="AA178" s="334"/>
      <c r="AB178" s="334"/>
      <c r="AC178" s="272"/>
      <c r="AD178" s="124"/>
      <c r="AE178" s="152"/>
      <c r="AJ178" s="152"/>
      <c r="AK178" s="352"/>
    </row>
    <row r="179" spans="1:37" ht="15.75">
      <c r="A179" s="323">
        <v>63</v>
      </c>
      <c r="B179" s="448">
        <f t="shared" si="24"/>
        <v>0</v>
      </c>
      <c r="C179" s="365">
        <f t="shared" si="25"/>
        <v>0</v>
      </c>
      <c r="D179" s="365" t="e">
        <f>IF(ISNUMBER(C179),VLOOKUP(B179,Productos!$A$2:$G$111,7,FALSE),0)</f>
        <v>#N/A</v>
      </c>
      <c r="E179" s="365" t="e">
        <f>IF(B179&lt;&gt;"",VLOOKUP(B179,Productos!$A$2:$G$116,6,FALSE),0)</f>
        <v>#N/A</v>
      </c>
      <c r="F179" s="365"/>
      <c r="G179" s="365" t="e">
        <f>IF(B179="Caja + Backlight",'NV CAJAS (BL)'!L89+TablaValoresProducto[[#This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total]]/G72+TablaValoresProducto[[#This Row],[Estructura]]+TablaValoresProducto[[#This Row],[Terminaciones]]+TablaValoresProducto[[#This Row],[Otros x1]],0))</f>
        <v>#DIV/0!</v>
      </c>
      <c r="H179" s="442">
        <f t="shared" si="26"/>
        <v>0</v>
      </c>
      <c r="I179" s="365" t="e">
        <f>TablaValoresProducto[[#This Row],[Valor impresion total]]/G72</f>
        <v>#DIV/0!</v>
      </c>
      <c r="Z179" s="330"/>
      <c r="AA179" s="334"/>
      <c r="AB179" s="334"/>
      <c r="AC179" s="272"/>
      <c r="AD179" s="124"/>
      <c r="AE179" s="152"/>
      <c r="AJ179" s="152"/>
      <c r="AK179" s="352"/>
    </row>
    <row r="180" spans="1:37" ht="15.75">
      <c r="A180" s="323">
        <v>64</v>
      </c>
      <c r="B180" s="448">
        <f t="shared" si="24"/>
        <v>0</v>
      </c>
      <c r="C180" s="365">
        <f t="shared" si="25"/>
        <v>0</v>
      </c>
      <c r="D180" s="365" t="e">
        <f>IF(ISNUMBER(C180),VLOOKUP(B180,Productos!$A$2:$G$111,7,FALSE),0)</f>
        <v>#N/A</v>
      </c>
      <c r="E180" s="365" t="e">
        <f>IF(B180&lt;&gt;"",VLOOKUP(B180,Productos!$A$2:$G$116,6,FALSE),0)</f>
        <v>#N/A</v>
      </c>
      <c r="F180" s="365"/>
      <c r="G180" s="365" t="e">
        <f>IF(B180="Caja + Backlight",'NV CAJAS (BL)'!L90+TablaValoresProducto[[#This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total]]/G73+TablaValoresProducto[[#This Row],[Estructura]]+TablaValoresProducto[[#This Row],[Terminaciones]]+TablaValoresProducto[[#This Row],[Otros x1]],0))</f>
        <v>#DIV/0!</v>
      </c>
      <c r="H180" s="442">
        <f t="shared" si="26"/>
        <v>0</v>
      </c>
      <c r="I180" s="365" t="e">
        <f>TablaValoresProducto[[#This Row],[Valor impresion total]]/G73</f>
        <v>#DIV/0!</v>
      </c>
      <c r="Z180" s="330"/>
      <c r="AA180" s="334"/>
      <c r="AB180" s="334"/>
      <c r="AC180" s="272"/>
      <c r="AD180" s="124"/>
      <c r="AE180" s="152"/>
      <c r="AJ180" s="152"/>
      <c r="AK180" s="352"/>
    </row>
    <row r="181" spans="1:37" ht="15.75">
      <c r="A181" s="323">
        <v>65</v>
      </c>
      <c r="B181" s="448">
        <f t="shared" ref="B181:B212" si="27">B74</f>
        <v>0</v>
      </c>
      <c r="C181" s="365">
        <f t="shared" ref="C181:C212" si="28">IF(ISNUMBER(K74),J74*K74,0)</f>
        <v>0</v>
      </c>
      <c r="D181" s="365" t="e">
        <f>IF(ISNUMBER(C181),VLOOKUP(B181,Productos!$A$2:$G$111,7,FALSE),0)</f>
        <v>#N/A</v>
      </c>
      <c r="E181" s="365" t="e">
        <f>IF(B181&lt;&gt;"",VLOOKUP(B181,Productos!$A$2:$G$116,6,FALSE),0)</f>
        <v>#N/A</v>
      </c>
      <c r="F181" s="365"/>
      <c r="G181" s="365" t="e">
        <f>IF(B181="Caja + Backlight",'NV CAJAS (BL)'!L91+TablaValoresProducto[[#This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total]]/G74+TablaValoresProducto[[#This Row],[Estructura]]+TablaValoresProducto[[#This Row],[Terminaciones]]+TablaValoresProducto[[#This Row],[Otros x1]],0))</f>
        <v>#DIV/0!</v>
      </c>
      <c r="H181" s="442">
        <f t="shared" ref="H181:H212" si="29">IF(ISNUMBER(G181),G181*G74,0)</f>
        <v>0</v>
      </c>
      <c r="I181" s="365" t="e">
        <f>TablaValoresProducto[[#This Row],[Valor impresion total]]/G74</f>
        <v>#DIV/0!</v>
      </c>
      <c r="Z181" s="330"/>
      <c r="AA181" s="334"/>
      <c r="AB181" s="334"/>
      <c r="AC181" s="272"/>
      <c r="AD181" s="124"/>
      <c r="AE181" s="152"/>
      <c r="AJ181" s="152"/>
      <c r="AK181" s="352"/>
    </row>
    <row r="182" spans="1:37" ht="15.75">
      <c r="A182" s="323">
        <v>66</v>
      </c>
      <c r="B182" s="448">
        <f t="shared" si="27"/>
        <v>0</v>
      </c>
      <c r="C182" s="365">
        <f t="shared" si="28"/>
        <v>0</v>
      </c>
      <c r="D182" s="365" t="e">
        <f>IF(ISNUMBER(C182),VLOOKUP(B182,Productos!$A$2:$G$111,7,FALSE),0)</f>
        <v>#N/A</v>
      </c>
      <c r="E182" s="365" t="e">
        <f>IF(B182&lt;&gt;"",VLOOKUP(B182,Productos!$A$2:$G$116,6,FALSE),0)</f>
        <v>#N/A</v>
      </c>
      <c r="F182" s="365"/>
      <c r="G182" s="365" t="e">
        <f>IF(B182="Caja + Backlight",'NV CAJAS (BL)'!L92+TablaValoresProducto[[#This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total]]/G75+TablaValoresProducto[[#This Row],[Estructura]]+TablaValoresProducto[[#This Row],[Terminaciones]]+TablaValoresProducto[[#This Row],[Otros x1]],0))</f>
        <v>#DIV/0!</v>
      </c>
      <c r="H182" s="442">
        <f t="shared" si="29"/>
        <v>0</v>
      </c>
      <c r="I182" s="365" t="e">
        <f>TablaValoresProducto[[#This Row],[Valor impresion total]]/G75</f>
        <v>#DIV/0!</v>
      </c>
      <c r="Z182" s="330"/>
      <c r="AA182" s="334"/>
      <c r="AB182" s="334"/>
      <c r="AC182" s="272"/>
      <c r="AD182" s="124"/>
      <c r="AE182" s="152"/>
      <c r="AJ182" s="152"/>
      <c r="AK182" s="352"/>
    </row>
    <row r="183" spans="1:37" ht="15.75">
      <c r="A183" s="323">
        <v>67</v>
      </c>
      <c r="B183" s="448">
        <f t="shared" si="27"/>
        <v>0</v>
      </c>
      <c r="C183" s="365">
        <f t="shared" si="28"/>
        <v>0</v>
      </c>
      <c r="D183" s="365" t="e">
        <f>IF(ISNUMBER(C183),VLOOKUP(B183,Productos!$A$2:$G$111,7,FALSE),0)</f>
        <v>#N/A</v>
      </c>
      <c r="E183" s="365" t="e">
        <f>IF(B183&lt;&gt;"",VLOOKUP(B183,Productos!$A$2:$G$116,6,FALSE),0)</f>
        <v>#N/A</v>
      </c>
      <c r="F183" s="365"/>
      <c r="G183" s="365" t="e">
        <f>IF(B183="Caja + Backlight",'NV CAJAS (BL)'!L93+TablaValoresProducto[[#This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total]]/G76+TablaValoresProducto[[#This Row],[Estructura]]+TablaValoresProducto[[#This Row],[Terminaciones]]+TablaValoresProducto[[#This Row],[Otros x1]],0))</f>
        <v>#DIV/0!</v>
      </c>
      <c r="H183" s="442">
        <f t="shared" si="29"/>
        <v>0</v>
      </c>
      <c r="I183" s="365" t="e">
        <f>TablaValoresProducto[[#This Row],[Valor impresion total]]/G76</f>
        <v>#DIV/0!</v>
      </c>
      <c r="Z183" s="330"/>
      <c r="AA183" s="334"/>
      <c r="AB183" s="334"/>
      <c r="AC183" s="272"/>
      <c r="AD183" s="124"/>
      <c r="AE183" s="152"/>
      <c r="AJ183" s="152"/>
      <c r="AK183" s="352"/>
    </row>
    <row r="184" spans="1:37" ht="15.75">
      <c r="A184" s="323">
        <v>68</v>
      </c>
      <c r="B184" s="448">
        <f t="shared" si="27"/>
        <v>0</v>
      </c>
      <c r="C184" s="365">
        <f t="shared" si="28"/>
        <v>0</v>
      </c>
      <c r="D184" s="365" t="e">
        <f>IF(ISNUMBER(C184),VLOOKUP(B184,Productos!$A$2:$G$111,7,FALSE),0)</f>
        <v>#N/A</v>
      </c>
      <c r="E184" s="365" t="e">
        <f>IF(B184&lt;&gt;"",VLOOKUP(B184,Productos!$A$2:$G$116,6,FALSE),0)</f>
        <v>#N/A</v>
      </c>
      <c r="F184" s="365"/>
      <c r="G184" s="365" t="e">
        <f>IF(B184="Caja + Backlight",'NV CAJAS (BL)'!L94+TablaValoresProducto[[#This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total]]/G77+TablaValoresProducto[[#This Row],[Estructura]]+TablaValoresProducto[[#This Row],[Terminaciones]]+TablaValoresProducto[[#This Row],[Otros x1]],0))</f>
        <v>#DIV/0!</v>
      </c>
      <c r="H184" s="442">
        <f t="shared" si="29"/>
        <v>0</v>
      </c>
      <c r="I184" s="365" t="e">
        <f>TablaValoresProducto[[#This Row],[Valor impresion total]]/G77</f>
        <v>#DIV/0!</v>
      </c>
      <c r="Z184" s="330"/>
      <c r="AA184" s="334"/>
      <c r="AB184" s="334"/>
      <c r="AC184" s="272"/>
      <c r="AD184" s="124"/>
      <c r="AE184" s="152"/>
      <c r="AJ184" s="152"/>
      <c r="AK184" s="352"/>
    </row>
    <row r="185" spans="1:37" ht="15.75">
      <c r="A185" s="323">
        <v>69</v>
      </c>
      <c r="B185" s="448">
        <f t="shared" si="27"/>
        <v>0</v>
      </c>
      <c r="C185" s="365">
        <f t="shared" si="28"/>
        <v>0</v>
      </c>
      <c r="D185" s="365" t="e">
        <f>IF(ISNUMBER(C185),VLOOKUP(B185,Productos!$A$2:$G$111,7,FALSE),0)</f>
        <v>#N/A</v>
      </c>
      <c r="E185" s="365" t="e">
        <f>IF(B185&lt;&gt;"",VLOOKUP(B185,Productos!$A$2:$G$116,6,FALSE),0)</f>
        <v>#N/A</v>
      </c>
      <c r="F185" s="365"/>
      <c r="G185" s="365" t="e">
        <f>IF(B185="Caja + Backlight",'NV CAJAS (BL)'!L95+TablaValoresProducto[[#This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total]]/G78+TablaValoresProducto[[#This Row],[Estructura]]+TablaValoresProducto[[#This Row],[Terminaciones]]+TablaValoresProducto[[#This Row],[Otros x1]],0))</f>
        <v>#DIV/0!</v>
      </c>
      <c r="H185" s="442">
        <f t="shared" si="29"/>
        <v>0</v>
      </c>
      <c r="I185" s="365" t="e">
        <f>TablaValoresProducto[[#This Row],[Valor impresion total]]/G78</f>
        <v>#DIV/0!</v>
      </c>
      <c r="Z185" s="330"/>
      <c r="AA185" s="334"/>
      <c r="AB185" s="334"/>
      <c r="AC185" s="272"/>
      <c r="AD185" s="124"/>
      <c r="AE185" s="152"/>
      <c r="AJ185" s="152"/>
      <c r="AK185" s="352"/>
    </row>
    <row r="186" spans="1:37" ht="15.75">
      <c r="A186" s="323">
        <v>70</v>
      </c>
      <c r="B186" s="448">
        <f t="shared" si="27"/>
        <v>0</v>
      </c>
      <c r="C186" s="365">
        <f t="shared" si="28"/>
        <v>0</v>
      </c>
      <c r="D186" s="365" t="e">
        <f>IF(ISNUMBER(C186),VLOOKUP(B186,Productos!$A$2:$G$111,7,FALSE),0)</f>
        <v>#N/A</v>
      </c>
      <c r="E186" s="365" t="e">
        <f>IF(B186&lt;&gt;"",VLOOKUP(B186,Productos!$A$2:$G$116,6,FALSE),0)</f>
        <v>#N/A</v>
      </c>
      <c r="F186" s="365"/>
      <c r="G186" s="365" t="e">
        <f>IF(B186="Caja + Backlight",'NV CAJAS (BL)'!L96+TablaValoresProducto[[#This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total]]/G79+TablaValoresProducto[[#This Row],[Estructura]]+TablaValoresProducto[[#This Row],[Terminaciones]]+TablaValoresProducto[[#This Row],[Otros x1]],0))</f>
        <v>#DIV/0!</v>
      </c>
      <c r="H186" s="442">
        <f t="shared" si="29"/>
        <v>0</v>
      </c>
      <c r="I186" s="365" t="e">
        <f>TablaValoresProducto[[#This Row],[Valor impresion total]]/G79</f>
        <v>#DIV/0!</v>
      </c>
      <c r="Z186" s="330"/>
      <c r="AA186" s="334"/>
      <c r="AB186" s="334"/>
      <c r="AC186" s="272"/>
      <c r="AD186" s="124"/>
      <c r="AE186" s="152"/>
      <c r="AJ186" s="152"/>
      <c r="AK186" s="352"/>
    </row>
    <row r="187" spans="1:37" ht="15.75">
      <c r="A187" s="323">
        <v>71</v>
      </c>
      <c r="B187" s="448">
        <f t="shared" si="27"/>
        <v>0</v>
      </c>
      <c r="C187" s="365">
        <f t="shared" si="28"/>
        <v>0</v>
      </c>
      <c r="D187" s="365" t="e">
        <f>IF(ISNUMBER(C187),VLOOKUP(B187,Productos!$A$2:$G$111,7,FALSE),0)</f>
        <v>#N/A</v>
      </c>
      <c r="E187" s="365" t="e">
        <f>IF(B187&lt;&gt;"",VLOOKUP(B187,Productos!$A$2:$G$116,6,FALSE),0)</f>
        <v>#N/A</v>
      </c>
      <c r="F187" s="365"/>
      <c r="G187" s="365" t="e">
        <f>IF(B187="Caja + Backlight",'NV CAJAS (BL)'!L97+TablaValoresProducto[[#This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total]]/G80+TablaValoresProducto[[#This Row],[Estructura]]+TablaValoresProducto[[#This Row],[Terminaciones]]+TablaValoresProducto[[#This Row],[Otros x1]],0))</f>
        <v>#DIV/0!</v>
      </c>
      <c r="H187" s="442">
        <f t="shared" si="29"/>
        <v>0</v>
      </c>
      <c r="I187" s="365" t="e">
        <f>TablaValoresProducto[[#This Row],[Valor impresion total]]/G80</f>
        <v>#DIV/0!</v>
      </c>
      <c r="Z187" s="330"/>
      <c r="AA187" s="334"/>
      <c r="AB187" s="334"/>
      <c r="AC187" s="272"/>
      <c r="AD187" s="124"/>
      <c r="AE187" s="152"/>
      <c r="AJ187" s="152"/>
      <c r="AK187" s="352"/>
    </row>
    <row r="188" spans="1:37" ht="15.75">
      <c r="A188" s="323">
        <v>72</v>
      </c>
      <c r="B188" s="448">
        <f t="shared" si="27"/>
        <v>0</v>
      </c>
      <c r="C188" s="365">
        <f t="shared" si="28"/>
        <v>0</v>
      </c>
      <c r="D188" s="365" t="e">
        <f>IF(ISNUMBER(C188),VLOOKUP(B188,Productos!$A$2:$G$111,7,FALSE),0)</f>
        <v>#N/A</v>
      </c>
      <c r="E188" s="365" t="e">
        <f>IF(B188&lt;&gt;"",VLOOKUP(B188,Productos!$A$2:$G$116,6,FALSE),0)</f>
        <v>#N/A</v>
      </c>
      <c r="F188" s="365"/>
      <c r="G188" s="365" t="e">
        <f>IF(B188="Caja + Backlight",'NV CAJAS (BL)'!L98+TablaValoresProducto[[#This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total]]/G81+TablaValoresProducto[[#This Row],[Estructura]]+TablaValoresProducto[[#This Row],[Terminaciones]]+TablaValoresProducto[[#This Row],[Otros x1]],0))</f>
        <v>#DIV/0!</v>
      </c>
      <c r="H188" s="442">
        <f t="shared" si="29"/>
        <v>0</v>
      </c>
      <c r="I188" s="365" t="e">
        <f>TablaValoresProducto[[#This Row],[Valor impresion total]]/G81</f>
        <v>#DIV/0!</v>
      </c>
      <c r="Z188" s="330"/>
      <c r="AA188" s="334"/>
      <c r="AB188" s="334"/>
      <c r="AC188" s="272"/>
      <c r="AD188" s="124"/>
      <c r="AE188" s="152"/>
      <c r="AJ188" s="152"/>
      <c r="AK188" s="352"/>
    </row>
    <row r="189" spans="1:37" ht="15.75">
      <c r="A189" s="323">
        <v>73</v>
      </c>
      <c r="B189" s="448">
        <f t="shared" si="27"/>
        <v>0</v>
      </c>
      <c r="C189" s="365">
        <f t="shared" si="28"/>
        <v>0</v>
      </c>
      <c r="D189" s="365" t="e">
        <f>IF(ISNUMBER(C189),VLOOKUP(B189,Productos!$A$2:$G$111,7,FALSE),0)</f>
        <v>#N/A</v>
      </c>
      <c r="E189" s="365" t="e">
        <f>IF(B189&lt;&gt;"",VLOOKUP(B189,Productos!$A$2:$G$116,6,FALSE),0)</f>
        <v>#N/A</v>
      </c>
      <c r="F189" s="365"/>
      <c r="G189" s="365" t="e">
        <f>IF(B189="Caja + Backlight",'NV CAJAS (BL)'!L99+TablaValoresProducto[[#This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total]]/G82+TablaValoresProducto[[#This Row],[Estructura]]+TablaValoresProducto[[#This Row],[Terminaciones]]+TablaValoresProducto[[#This Row],[Otros x1]],0))</f>
        <v>#DIV/0!</v>
      </c>
      <c r="H189" s="442">
        <f t="shared" si="29"/>
        <v>0</v>
      </c>
      <c r="I189" s="365" t="e">
        <f>TablaValoresProducto[[#This Row],[Valor impresion total]]/G82</f>
        <v>#DIV/0!</v>
      </c>
      <c r="Z189" s="330"/>
      <c r="AA189" s="334"/>
      <c r="AB189" s="334"/>
      <c r="AC189" s="272"/>
      <c r="AD189" s="124"/>
      <c r="AE189" s="152"/>
      <c r="AJ189" s="152"/>
      <c r="AK189" s="352"/>
    </row>
    <row r="190" spans="1:37" ht="15.75">
      <c r="A190" s="323">
        <v>74</v>
      </c>
      <c r="B190" s="448">
        <f t="shared" si="27"/>
        <v>0</v>
      </c>
      <c r="C190" s="365">
        <f t="shared" si="28"/>
        <v>0</v>
      </c>
      <c r="D190" s="365" t="e">
        <f>IF(ISNUMBER(C190),VLOOKUP(B190,Productos!$A$2:$G$111,7,FALSE),0)</f>
        <v>#N/A</v>
      </c>
      <c r="E190" s="365" t="e">
        <f>IF(B190&lt;&gt;"",VLOOKUP(B190,Productos!$A$2:$G$116,6,FALSE),0)</f>
        <v>#N/A</v>
      </c>
      <c r="F190" s="365"/>
      <c r="G190" s="365" t="e">
        <f>IF(B190="Caja + Backlight",'NV CAJAS (BL)'!L100+TablaValoresProducto[[#This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total]]/G83+TablaValoresProducto[[#This Row],[Estructura]]+TablaValoresProducto[[#This Row],[Terminaciones]]+TablaValoresProducto[[#This Row],[Otros x1]],0))</f>
        <v>#DIV/0!</v>
      </c>
      <c r="H190" s="442">
        <f t="shared" si="29"/>
        <v>0</v>
      </c>
      <c r="I190" s="365" t="e">
        <f>TablaValoresProducto[[#This Row],[Valor impresion total]]/G83</f>
        <v>#DIV/0!</v>
      </c>
      <c r="Z190" s="330"/>
      <c r="AA190" s="334"/>
      <c r="AB190" s="334"/>
      <c r="AC190" s="272"/>
      <c r="AD190" s="124"/>
      <c r="AE190" s="152"/>
      <c r="AJ190" s="152"/>
      <c r="AK190" s="352"/>
    </row>
    <row r="191" spans="1:37" ht="15.75">
      <c r="A191" s="323">
        <v>75</v>
      </c>
      <c r="B191" s="448">
        <f t="shared" si="27"/>
        <v>0</v>
      </c>
      <c r="C191" s="365">
        <f t="shared" si="28"/>
        <v>0</v>
      </c>
      <c r="D191" s="365" t="e">
        <f>IF(ISNUMBER(C191),VLOOKUP(B191,Productos!$A$2:$G$111,7,FALSE),0)</f>
        <v>#N/A</v>
      </c>
      <c r="E191" s="365" t="e">
        <f>IF(B191&lt;&gt;"",VLOOKUP(B191,Productos!$A$2:$G$116,6,FALSE),0)</f>
        <v>#N/A</v>
      </c>
      <c r="F191" s="365"/>
      <c r="G191" s="365" t="e">
        <f>IF(B191="Caja + Backlight",'NV CAJAS (BL)'!L101+TablaValoresProducto[[#This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total]]/G84+TablaValoresProducto[[#This Row],[Estructura]]+TablaValoresProducto[[#This Row],[Terminaciones]]+TablaValoresProducto[[#This Row],[Otros x1]],0))</f>
        <v>#DIV/0!</v>
      </c>
      <c r="H191" s="442">
        <f t="shared" si="29"/>
        <v>0</v>
      </c>
      <c r="I191" s="365" t="e">
        <f>TablaValoresProducto[[#This Row],[Valor impresion total]]/G84</f>
        <v>#DIV/0!</v>
      </c>
      <c r="Z191" s="330"/>
      <c r="AA191" s="334"/>
      <c r="AB191" s="334"/>
      <c r="AC191" s="272"/>
      <c r="AD191" s="124"/>
      <c r="AE191" s="152"/>
      <c r="AJ191" s="152"/>
      <c r="AK191" s="352"/>
    </row>
    <row r="192" spans="1:37" ht="15.75">
      <c r="A192" s="323">
        <v>76</v>
      </c>
      <c r="B192" s="448">
        <f t="shared" si="27"/>
        <v>0</v>
      </c>
      <c r="C192" s="365">
        <f t="shared" si="28"/>
        <v>0</v>
      </c>
      <c r="D192" s="365" t="e">
        <f>IF(ISNUMBER(C192),VLOOKUP(B192,Productos!$A$2:$G$111,7,FALSE),0)</f>
        <v>#N/A</v>
      </c>
      <c r="E192" s="365" t="e">
        <f>IF(B192&lt;&gt;"",VLOOKUP(B192,Productos!$A$2:$G$116,6,FALSE),0)</f>
        <v>#N/A</v>
      </c>
      <c r="F192" s="365"/>
      <c r="G192" s="365" t="e">
        <f>IF(B192="Caja + Backlight",'NV CAJAS (BL)'!L102+TablaValoresProducto[[#This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total]]/G85+TablaValoresProducto[[#This Row],[Estructura]]+TablaValoresProducto[[#This Row],[Terminaciones]]+TablaValoresProducto[[#This Row],[Otros x1]],0))</f>
        <v>#DIV/0!</v>
      </c>
      <c r="H192" s="442">
        <f t="shared" si="29"/>
        <v>0</v>
      </c>
      <c r="I192" s="365" t="e">
        <f>TablaValoresProducto[[#This Row],[Valor impresion total]]/G85</f>
        <v>#DIV/0!</v>
      </c>
      <c r="Z192" s="330"/>
      <c r="AA192" s="334"/>
      <c r="AB192" s="334"/>
      <c r="AC192" s="272"/>
      <c r="AD192" s="124"/>
      <c r="AE192" s="152"/>
      <c r="AJ192" s="152"/>
      <c r="AK192" s="352"/>
    </row>
    <row r="193" spans="1:37" ht="15.75">
      <c r="A193" s="323">
        <v>77</v>
      </c>
      <c r="B193" s="448">
        <f t="shared" si="27"/>
        <v>0</v>
      </c>
      <c r="C193" s="365">
        <f t="shared" si="28"/>
        <v>0</v>
      </c>
      <c r="D193" s="365" t="e">
        <f>IF(ISNUMBER(C193),VLOOKUP(B193,Productos!$A$2:$G$111,7,FALSE),0)</f>
        <v>#N/A</v>
      </c>
      <c r="E193" s="365" t="e">
        <f>IF(B193&lt;&gt;"",VLOOKUP(B193,Productos!$A$2:$G$116,6,FALSE),0)</f>
        <v>#N/A</v>
      </c>
      <c r="F193" s="365"/>
      <c r="G193" s="365" t="e">
        <f>IF(B193="Caja + Backlight",'NV CAJAS (BL)'!L103+TablaValoresProducto[[#This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total]]/G86+TablaValoresProducto[[#This Row],[Estructura]]+TablaValoresProducto[[#This Row],[Terminaciones]]+TablaValoresProducto[[#This Row],[Otros x1]],0))</f>
        <v>#DIV/0!</v>
      </c>
      <c r="H193" s="442">
        <f t="shared" si="29"/>
        <v>0</v>
      </c>
      <c r="I193" s="365" t="e">
        <f>TablaValoresProducto[[#This Row],[Valor impresion total]]/G86</f>
        <v>#DIV/0!</v>
      </c>
      <c r="Z193" s="330"/>
      <c r="AA193" s="334"/>
      <c r="AB193" s="334"/>
      <c r="AC193" s="272"/>
      <c r="AD193" s="124"/>
      <c r="AE193" s="152"/>
      <c r="AJ193" s="152"/>
      <c r="AK193" s="352"/>
    </row>
    <row r="194" spans="1:37" ht="15.75">
      <c r="A194" s="323">
        <v>78</v>
      </c>
      <c r="B194" s="448">
        <f t="shared" si="27"/>
        <v>0</v>
      </c>
      <c r="C194" s="365">
        <f t="shared" si="28"/>
        <v>0</v>
      </c>
      <c r="D194" s="365" t="e">
        <f>IF(ISNUMBER(C194),VLOOKUP(B194,Productos!$A$2:$G$111,7,FALSE),0)</f>
        <v>#N/A</v>
      </c>
      <c r="E194" s="365" t="e">
        <f>IF(B194&lt;&gt;"",VLOOKUP(B194,Productos!$A$2:$G$116,6,FALSE),0)</f>
        <v>#N/A</v>
      </c>
      <c r="F194" s="365"/>
      <c r="G194" s="365" t="e">
        <f>IF(B194="Caja + Backlight",'NV CAJAS (BL)'!L104+TablaValoresProducto[[#This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total]]/G87+TablaValoresProducto[[#This Row],[Estructura]]+TablaValoresProducto[[#This Row],[Terminaciones]]+TablaValoresProducto[[#This Row],[Otros x1]],0))</f>
        <v>#DIV/0!</v>
      </c>
      <c r="H194" s="442">
        <f t="shared" si="29"/>
        <v>0</v>
      </c>
      <c r="I194" s="365" t="e">
        <f>TablaValoresProducto[[#This Row],[Valor impresion total]]/G87</f>
        <v>#DIV/0!</v>
      </c>
      <c r="Z194" s="330"/>
      <c r="AA194" s="334"/>
      <c r="AB194" s="334"/>
      <c r="AC194" s="272"/>
      <c r="AD194" s="124"/>
      <c r="AE194" s="152"/>
      <c r="AJ194" s="152"/>
      <c r="AK194" s="352"/>
    </row>
    <row r="195" spans="1:37" ht="15.75">
      <c r="A195" s="323">
        <v>79</v>
      </c>
      <c r="B195" s="448">
        <f t="shared" si="27"/>
        <v>0</v>
      </c>
      <c r="C195" s="365">
        <f t="shared" si="28"/>
        <v>0</v>
      </c>
      <c r="D195" s="365" t="e">
        <f>IF(ISNUMBER(C195),VLOOKUP(B195,Productos!$A$2:$G$111,7,FALSE),0)</f>
        <v>#N/A</v>
      </c>
      <c r="E195" s="365" t="e">
        <f>IF(B195&lt;&gt;"",VLOOKUP(B195,Productos!$A$2:$G$116,6,FALSE),0)</f>
        <v>#N/A</v>
      </c>
      <c r="F195" s="365"/>
      <c r="G195" s="365" t="e">
        <f>IF(B195="Caja + Backlight",'NV CAJAS (BL)'!L105+TablaValoresProducto[[#This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total]]/G88+TablaValoresProducto[[#This Row],[Estructura]]+TablaValoresProducto[[#This Row],[Terminaciones]]+TablaValoresProducto[[#This Row],[Otros x1]],0))</f>
        <v>#DIV/0!</v>
      </c>
      <c r="H195" s="442">
        <f t="shared" si="29"/>
        <v>0</v>
      </c>
      <c r="I195" s="365" t="e">
        <f>TablaValoresProducto[[#This Row],[Valor impresion total]]/G88</f>
        <v>#DIV/0!</v>
      </c>
      <c r="Z195" s="330"/>
      <c r="AA195" s="334"/>
      <c r="AB195" s="334"/>
      <c r="AC195" s="272"/>
      <c r="AD195" s="124"/>
      <c r="AE195" s="152"/>
      <c r="AJ195" s="152"/>
      <c r="AK195" s="352"/>
    </row>
    <row r="196" spans="1:37" ht="15.75">
      <c r="A196" s="323">
        <v>80</v>
      </c>
      <c r="B196" s="448">
        <f t="shared" si="27"/>
        <v>0</v>
      </c>
      <c r="C196" s="365">
        <f t="shared" si="28"/>
        <v>0</v>
      </c>
      <c r="D196" s="365" t="e">
        <f>IF(ISNUMBER(C196),VLOOKUP(B196,Productos!$A$2:$G$111,7,FALSE),0)</f>
        <v>#N/A</v>
      </c>
      <c r="E196" s="365" t="e">
        <f>IF(B196&lt;&gt;"",VLOOKUP(B196,Productos!$A$2:$G$116,6,FALSE),0)</f>
        <v>#N/A</v>
      </c>
      <c r="F196" s="365"/>
      <c r="G196" s="365" t="e">
        <f>IF(B196="Caja + Backlight",'NV CAJAS (BL)'!L106+TablaValoresProducto[[#This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total]]/G89+TablaValoresProducto[[#This Row],[Estructura]]+TablaValoresProducto[[#This Row],[Terminaciones]]+TablaValoresProducto[[#This Row],[Otros x1]],0))</f>
        <v>#DIV/0!</v>
      </c>
      <c r="H196" s="442">
        <f t="shared" si="29"/>
        <v>0</v>
      </c>
      <c r="I196" s="365" t="e">
        <f>TablaValoresProducto[[#This Row],[Valor impresion total]]/G89</f>
        <v>#DIV/0!</v>
      </c>
      <c r="Z196" s="330"/>
      <c r="AA196" s="334"/>
      <c r="AB196" s="334"/>
      <c r="AC196" s="272"/>
      <c r="AD196" s="124"/>
      <c r="AE196" s="152"/>
      <c r="AJ196" s="152"/>
      <c r="AK196" s="352"/>
    </row>
    <row r="197" spans="1:37" ht="15.75">
      <c r="A197" s="323">
        <v>81</v>
      </c>
      <c r="B197" s="448">
        <f t="shared" si="27"/>
        <v>0</v>
      </c>
      <c r="C197" s="365">
        <f t="shared" si="28"/>
        <v>0</v>
      </c>
      <c r="D197" s="365" t="e">
        <f>IF(ISNUMBER(C197),VLOOKUP(B197,Productos!$A$2:$G$111,7,FALSE),0)</f>
        <v>#N/A</v>
      </c>
      <c r="E197" s="365" t="e">
        <f>IF(B197&lt;&gt;"",VLOOKUP(B197,Productos!$A$2:$G$116,6,FALSE),0)</f>
        <v>#N/A</v>
      </c>
      <c r="F197" s="365"/>
      <c r="G197" s="365" t="e">
        <f>IF(B197="Caja + Backlight",'NV CAJAS (BL)'!L107+TablaValoresProducto[[#This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total]]/G90+TablaValoresProducto[[#This Row],[Estructura]]+TablaValoresProducto[[#This Row],[Terminaciones]]+TablaValoresProducto[[#This Row],[Otros x1]],0))</f>
        <v>#DIV/0!</v>
      </c>
      <c r="H197" s="442">
        <f t="shared" si="29"/>
        <v>0</v>
      </c>
      <c r="I197" s="365" t="e">
        <f>TablaValoresProducto[[#This Row],[Valor impresion total]]/G90</f>
        <v>#DIV/0!</v>
      </c>
      <c r="Z197" s="330"/>
      <c r="AA197" s="334"/>
      <c r="AB197" s="334"/>
      <c r="AC197" s="272"/>
      <c r="AD197" s="124"/>
      <c r="AE197" s="152"/>
      <c r="AJ197" s="152"/>
      <c r="AK197" s="352"/>
    </row>
    <row r="198" spans="1:37" ht="15.75">
      <c r="A198" s="323">
        <v>82</v>
      </c>
      <c r="B198" s="448">
        <f t="shared" si="27"/>
        <v>0</v>
      </c>
      <c r="C198" s="365">
        <f t="shared" si="28"/>
        <v>0</v>
      </c>
      <c r="D198" s="365" t="e">
        <f>IF(ISNUMBER(C198),VLOOKUP(B198,Productos!$A$2:$G$111,7,FALSE),0)</f>
        <v>#N/A</v>
      </c>
      <c r="E198" s="365" t="e">
        <f>IF(B198&lt;&gt;"",VLOOKUP(B198,Productos!$A$2:$G$116,6,FALSE),0)</f>
        <v>#N/A</v>
      </c>
      <c r="F198" s="365"/>
      <c r="G198" s="365" t="e">
        <f>IF(B198="Caja + Backlight",'NV CAJAS (BL)'!L108+TablaValoresProducto[[#This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total]]/G91+TablaValoresProducto[[#This Row],[Estructura]]+TablaValoresProducto[[#This Row],[Terminaciones]]+TablaValoresProducto[[#This Row],[Otros x1]],0))</f>
        <v>#DIV/0!</v>
      </c>
      <c r="H198" s="442">
        <f t="shared" si="29"/>
        <v>0</v>
      </c>
      <c r="I198" s="365" t="e">
        <f>TablaValoresProducto[[#This Row],[Valor impresion total]]/G91</f>
        <v>#DIV/0!</v>
      </c>
      <c r="Z198" s="330"/>
      <c r="AA198" s="334"/>
      <c r="AB198" s="334"/>
      <c r="AC198" s="272"/>
      <c r="AD198" s="124"/>
      <c r="AE198" s="152"/>
      <c r="AJ198" s="152"/>
      <c r="AK198" s="352"/>
    </row>
    <row r="199" spans="1:37" ht="15.75">
      <c r="A199" s="323">
        <v>83</v>
      </c>
      <c r="B199" s="448">
        <f t="shared" si="27"/>
        <v>0</v>
      </c>
      <c r="C199" s="365">
        <f t="shared" si="28"/>
        <v>0</v>
      </c>
      <c r="D199" s="365" t="e">
        <f>IF(ISNUMBER(C199),VLOOKUP(B199,Productos!$A$2:$G$111,7,FALSE),0)</f>
        <v>#N/A</v>
      </c>
      <c r="E199" s="365" t="e">
        <f>IF(B199&lt;&gt;"",VLOOKUP(B199,Productos!$A$2:$G$116,6,FALSE),0)</f>
        <v>#N/A</v>
      </c>
      <c r="F199" s="365"/>
      <c r="G199" s="365" t="e">
        <f>IF(B199="Caja + Backlight",'NV CAJAS (BL)'!L109+TablaValoresProducto[[#This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total]]/G92+TablaValoresProducto[[#This Row],[Estructura]]+TablaValoresProducto[[#This Row],[Terminaciones]]+TablaValoresProducto[[#This Row],[Otros x1]],0))</f>
        <v>#DIV/0!</v>
      </c>
      <c r="H199" s="442">
        <f t="shared" si="29"/>
        <v>0</v>
      </c>
      <c r="I199" s="365" t="e">
        <f>TablaValoresProducto[[#This Row],[Valor impresion total]]/G92</f>
        <v>#DIV/0!</v>
      </c>
      <c r="Z199" s="330"/>
      <c r="AA199" s="334"/>
      <c r="AB199" s="334"/>
      <c r="AC199" s="272"/>
      <c r="AD199" s="124"/>
      <c r="AE199" s="152"/>
      <c r="AJ199" s="152"/>
      <c r="AK199" s="352"/>
    </row>
    <row r="200" spans="1:37" ht="15.75">
      <c r="A200" s="323">
        <v>84</v>
      </c>
      <c r="B200" s="448">
        <f t="shared" si="27"/>
        <v>0</v>
      </c>
      <c r="C200" s="365">
        <f t="shared" si="28"/>
        <v>0</v>
      </c>
      <c r="D200" s="365" t="e">
        <f>IF(ISNUMBER(C200),VLOOKUP(B200,Productos!$A$2:$G$111,7,FALSE),0)</f>
        <v>#N/A</v>
      </c>
      <c r="E200" s="365" t="e">
        <f>IF(B200&lt;&gt;"",VLOOKUP(B200,Productos!$A$2:$G$116,6,FALSE),0)</f>
        <v>#N/A</v>
      </c>
      <c r="F200" s="365"/>
      <c r="G200" s="365" t="e">
        <f>IF(B200="Caja + Backlight",'NV CAJAS (BL)'!L110+TablaValoresProducto[[#This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total]]/G93+TablaValoresProducto[[#This Row],[Estructura]]+TablaValoresProducto[[#This Row],[Terminaciones]]+TablaValoresProducto[[#This Row],[Otros x1]],0))</f>
        <v>#DIV/0!</v>
      </c>
      <c r="H200" s="442">
        <f t="shared" si="29"/>
        <v>0</v>
      </c>
      <c r="I200" s="365" t="e">
        <f>TablaValoresProducto[[#This Row],[Valor impresion total]]/G93</f>
        <v>#DIV/0!</v>
      </c>
      <c r="Z200" s="330"/>
      <c r="AA200" s="334"/>
      <c r="AB200" s="334"/>
      <c r="AC200" s="272"/>
      <c r="AD200" s="124"/>
      <c r="AE200" s="152"/>
      <c r="AJ200" s="152"/>
      <c r="AK200" s="352"/>
    </row>
    <row r="201" spans="1:37" ht="15.75">
      <c r="A201" s="323">
        <v>85</v>
      </c>
      <c r="B201" s="448">
        <f t="shared" si="27"/>
        <v>0</v>
      </c>
      <c r="C201" s="365">
        <f t="shared" si="28"/>
        <v>0</v>
      </c>
      <c r="D201" s="365" t="e">
        <f>IF(ISNUMBER(C201),VLOOKUP(B201,Productos!$A$2:$G$111,7,FALSE),0)</f>
        <v>#N/A</v>
      </c>
      <c r="E201" s="365" t="e">
        <f>IF(B201&lt;&gt;"",VLOOKUP(B201,Productos!$A$2:$G$116,6,FALSE),0)</f>
        <v>#N/A</v>
      </c>
      <c r="F201" s="365"/>
      <c r="G201" s="365" t="e">
        <f>IF(B201="Caja + Backlight",'NV CAJAS (BL)'!L111+TablaValoresProducto[[#This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total]]/G94+TablaValoresProducto[[#This Row],[Estructura]]+TablaValoresProducto[[#This Row],[Terminaciones]]+TablaValoresProducto[[#This Row],[Otros x1]],0))</f>
        <v>#DIV/0!</v>
      </c>
      <c r="H201" s="442">
        <f t="shared" si="29"/>
        <v>0</v>
      </c>
      <c r="I201" s="365" t="e">
        <f>TablaValoresProducto[[#This Row],[Valor impresion total]]/G94</f>
        <v>#DIV/0!</v>
      </c>
      <c r="Z201" s="330"/>
      <c r="AA201" s="334"/>
      <c r="AB201" s="334"/>
      <c r="AC201" s="272"/>
      <c r="AD201" s="124"/>
      <c r="AE201" s="152"/>
      <c r="AJ201" s="152"/>
      <c r="AK201" s="352"/>
    </row>
    <row r="202" spans="1:37" ht="15.75">
      <c r="A202" s="323">
        <v>86</v>
      </c>
      <c r="B202" s="448">
        <f t="shared" si="27"/>
        <v>0</v>
      </c>
      <c r="C202" s="365">
        <f t="shared" si="28"/>
        <v>0</v>
      </c>
      <c r="D202" s="365" t="e">
        <f>IF(ISNUMBER(C202),VLOOKUP(B202,Productos!$A$2:$G$111,7,FALSE),0)</f>
        <v>#N/A</v>
      </c>
      <c r="E202" s="365" t="e">
        <f>IF(B202&lt;&gt;"",VLOOKUP(B202,Productos!$A$2:$G$116,6,FALSE),0)</f>
        <v>#N/A</v>
      </c>
      <c r="F202" s="365"/>
      <c r="G202" s="365" t="e">
        <f>IF(B202="Caja + Backlight",'NV CAJAS (BL)'!L112+TablaValoresProducto[[#This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total]]/G95+TablaValoresProducto[[#This Row],[Estructura]]+TablaValoresProducto[[#This Row],[Terminaciones]]+TablaValoresProducto[[#This Row],[Otros x1]],0))</f>
        <v>#DIV/0!</v>
      </c>
      <c r="H202" s="442">
        <f t="shared" si="29"/>
        <v>0</v>
      </c>
      <c r="I202" s="365" t="e">
        <f>TablaValoresProducto[[#This Row],[Valor impresion total]]/G95</f>
        <v>#DIV/0!</v>
      </c>
      <c r="Z202" s="330"/>
      <c r="AA202" s="334"/>
      <c r="AB202" s="334"/>
      <c r="AC202" s="272"/>
      <c r="AD202" s="124"/>
      <c r="AE202" s="152"/>
      <c r="AJ202" s="152"/>
      <c r="AK202" s="352"/>
    </row>
    <row r="203" spans="1:37" ht="15.75">
      <c r="A203" s="323">
        <v>87</v>
      </c>
      <c r="B203" s="448">
        <f t="shared" si="27"/>
        <v>0</v>
      </c>
      <c r="C203" s="365">
        <f t="shared" si="28"/>
        <v>0</v>
      </c>
      <c r="D203" s="365" t="e">
        <f>IF(ISNUMBER(C203),VLOOKUP(B203,Productos!$A$2:$G$111,7,FALSE),0)</f>
        <v>#N/A</v>
      </c>
      <c r="E203" s="365" t="e">
        <f>IF(B203&lt;&gt;"",VLOOKUP(B203,Productos!$A$2:$G$116,6,FALSE),0)</f>
        <v>#N/A</v>
      </c>
      <c r="F203" s="365"/>
      <c r="G203" s="365" t="e">
        <f>IF(B203="Caja + Backlight",'NV CAJAS (BL)'!L113+TablaValoresProducto[[#This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total]]/G96+TablaValoresProducto[[#This Row],[Estructura]]+TablaValoresProducto[[#This Row],[Terminaciones]]+TablaValoresProducto[[#This Row],[Otros x1]],0))</f>
        <v>#DIV/0!</v>
      </c>
      <c r="H203" s="442">
        <f t="shared" si="29"/>
        <v>0</v>
      </c>
      <c r="I203" s="365" t="e">
        <f>TablaValoresProducto[[#This Row],[Valor impresion total]]/G96</f>
        <v>#DIV/0!</v>
      </c>
      <c r="Z203" s="330"/>
      <c r="AA203" s="334"/>
      <c r="AB203" s="334"/>
      <c r="AC203" s="272"/>
      <c r="AD203" s="124"/>
      <c r="AE203" s="152"/>
      <c r="AJ203" s="152"/>
      <c r="AK203" s="352"/>
    </row>
    <row r="204" spans="1:37" ht="15.75">
      <c r="A204" s="323">
        <v>88</v>
      </c>
      <c r="B204" s="448">
        <f t="shared" si="27"/>
        <v>0</v>
      </c>
      <c r="C204" s="365">
        <f t="shared" si="28"/>
        <v>0</v>
      </c>
      <c r="D204" s="365" t="e">
        <f>IF(ISNUMBER(C204),VLOOKUP(B204,Productos!$A$2:$G$111,7,FALSE),0)</f>
        <v>#N/A</v>
      </c>
      <c r="E204" s="365" t="e">
        <f>IF(B204&lt;&gt;"",VLOOKUP(B204,Productos!$A$2:$G$116,6,FALSE),0)</f>
        <v>#N/A</v>
      </c>
      <c r="F204" s="365"/>
      <c r="G204" s="365" t="e">
        <f>IF(B204="Caja + Backlight",'NV CAJAS (BL)'!L114+TablaValoresProducto[[#This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total]]/G97+TablaValoresProducto[[#This Row],[Estructura]]+TablaValoresProducto[[#This Row],[Terminaciones]]+TablaValoresProducto[[#This Row],[Otros x1]],0))</f>
        <v>#DIV/0!</v>
      </c>
      <c r="H204" s="442">
        <f t="shared" si="29"/>
        <v>0</v>
      </c>
      <c r="I204" s="365" t="e">
        <f>TablaValoresProducto[[#This Row],[Valor impresion total]]/G97</f>
        <v>#DIV/0!</v>
      </c>
      <c r="Z204" s="330"/>
      <c r="AA204" s="334"/>
      <c r="AB204" s="334"/>
      <c r="AC204" s="272"/>
      <c r="AD204" s="124"/>
      <c r="AE204" s="152"/>
      <c r="AJ204" s="152"/>
      <c r="AK204" s="352"/>
    </row>
    <row r="205" spans="1:37" ht="15.75">
      <c r="A205" s="323">
        <v>89</v>
      </c>
      <c r="B205" s="448">
        <f t="shared" si="27"/>
        <v>0</v>
      </c>
      <c r="C205" s="365">
        <f t="shared" si="28"/>
        <v>0</v>
      </c>
      <c r="D205" s="365" t="e">
        <f>IF(ISNUMBER(C205),VLOOKUP(B205,Productos!$A$2:$G$111,7,FALSE),0)</f>
        <v>#N/A</v>
      </c>
      <c r="E205" s="365" t="e">
        <f>IF(B205&lt;&gt;"",VLOOKUP(B205,Productos!$A$2:$G$116,6,FALSE),0)</f>
        <v>#N/A</v>
      </c>
      <c r="F205" s="365"/>
      <c r="G205" s="365" t="e">
        <f>IF(B205="Caja + Backlight",'NV CAJAS (BL)'!L115+TablaValoresProducto[[#This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total]]/G98+TablaValoresProducto[[#This Row],[Estructura]]+TablaValoresProducto[[#This Row],[Terminaciones]]+TablaValoresProducto[[#This Row],[Otros x1]],0))</f>
        <v>#DIV/0!</v>
      </c>
      <c r="H205" s="442">
        <f t="shared" si="29"/>
        <v>0</v>
      </c>
      <c r="I205" s="365" t="e">
        <f>TablaValoresProducto[[#This Row],[Valor impresion total]]/G98</f>
        <v>#DIV/0!</v>
      </c>
      <c r="Z205" s="330"/>
      <c r="AA205" s="334"/>
      <c r="AB205" s="334"/>
      <c r="AC205" s="272"/>
      <c r="AD205" s="124"/>
      <c r="AE205" s="152"/>
      <c r="AJ205" s="152"/>
      <c r="AK205" s="352"/>
    </row>
    <row r="206" spans="1:37" ht="15.75">
      <c r="A206" s="323">
        <v>90</v>
      </c>
      <c r="B206" s="448">
        <f t="shared" si="27"/>
        <v>0</v>
      </c>
      <c r="C206" s="365">
        <f t="shared" si="28"/>
        <v>0</v>
      </c>
      <c r="D206" s="365" t="e">
        <f>IF(ISNUMBER(C206),VLOOKUP(B206,Productos!$A$2:$G$111,7,FALSE),0)</f>
        <v>#N/A</v>
      </c>
      <c r="E206" s="365" t="e">
        <f>IF(B206&lt;&gt;"",VLOOKUP(B206,Productos!$A$2:$G$116,6,FALSE),0)</f>
        <v>#N/A</v>
      </c>
      <c r="F206" s="365"/>
      <c r="G206" s="365" t="e">
        <f>IF(B206="Caja + Backlight",'NV CAJAS (BL)'!L116+TablaValoresProducto[[#This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total]]/G99+TablaValoresProducto[[#This Row],[Estructura]]+TablaValoresProducto[[#This Row],[Terminaciones]]+TablaValoresProducto[[#This Row],[Otros x1]],0))</f>
        <v>#DIV/0!</v>
      </c>
      <c r="H206" s="442">
        <f t="shared" si="29"/>
        <v>0</v>
      </c>
      <c r="I206" s="365" t="e">
        <f>TablaValoresProducto[[#This Row],[Valor impresion total]]/G99</f>
        <v>#DIV/0!</v>
      </c>
      <c r="Z206" s="330"/>
      <c r="AA206" s="334"/>
      <c r="AB206" s="334"/>
      <c r="AC206" s="272"/>
      <c r="AD206" s="124"/>
      <c r="AE206" s="152"/>
      <c r="AJ206" s="152"/>
      <c r="AK206" s="352"/>
    </row>
    <row r="207" spans="1:37" ht="15.75">
      <c r="A207" s="323">
        <v>91</v>
      </c>
      <c r="B207" s="448">
        <f t="shared" si="27"/>
        <v>0</v>
      </c>
      <c r="C207" s="365">
        <f t="shared" si="28"/>
        <v>0</v>
      </c>
      <c r="D207" s="365" t="e">
        <f>IF(ISNUMBER(C207),VLOOKUP(B207,Productos!$A$2:$G$111,7,FALSE),0)</f>
        <v>#N/A</v>
      </c>
      <c r="E207" s="365" t="e">
        <f>IF(B207&lt;&gt;"",VLOOKUP(B207,Productos!$A$2:$G$116,6,FALSE),0)</f>
        <v>#N/A</v>
      </c>
      <c r="F207" s="365"/>
      <c r="G207" s="365" t="e">
        <f>IF(B207="Caja + Backlight",'NV CAJAS (BL)'!L117+TablaValoresProducto[[#This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total]]/G100+TablaValoresProducto[[#This Row],[Estructura]]+TablaValoresProducto[[#This Row],[Terminaciones]]+TablaValoresProducto[[#This Row],[Otros x1]],0))</f>
        <v>#DIV/0!</v>
      </c>
      <c r="H207" s="442">
        <f t="shared" si="29"/>
        <v>0</v>
      </c>
      <c r="I207" s="365" t="e">
        <f>TablaValoresProducto[[#This Row],[Valor impresion total]]/G100</f>
        <v>#DIV/0!</v>
      </c>
      <c r="Z207" s="330"/>
      <c r="AA207" s="334"/>
      <c r="AB207" s="334"/>
      <c r="AC207" s="272"/>
      <c r="AD207" s="124"/>
      <c r="AE207" s="152"/>
      <c r="AJ207" s="152"/>
      <c r="AK207" s="352"/>
    </row>
    <row r="208" spans="1:37" ht="15.75">
      <c r="A208" s="323">
        <v>92</v>
      </c>
      <c r="B208" s="448">
        <f t="shared" si="27"/>
        <v>0</v>
      </c>
      <c r="C208" s="365">
        <f t="shared" si="28"/>
        <v>0</v>
      </c>
      <c r="D208" s="365" t="e">
        <f>IF(ISNUMBER(C208),VLOOKUP(B208,Productos!$A$2:$G$111,7,FALSE),0)</f>
        <v>#N/A</v>
      </c>
      <c r="E208" s="365" t="e">
        <f>IF(B208&lt;&gt;"",VLOOKUP(B208,Productos!$A$2:$G$116,6,FALSE),0)</f>
        <v>#N/A</v>
      </c>
      <c r="F208" s="365"/>
      <c r="G208" s="365" t="e">
        <f>IF(B208="Caja + Backlight",'NV CAJAS (BL)'!L118+TablaValoresProducto[[#This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total]]/G101+TablaValoresProducto[[#This Row],[Estructura]]+TablaValoresProducto[[#This Row],[Terminaciones]]+TablaValoresProducto[[#This Row],[Otros x1]],0))</f>
        <v>#DIV/0!</v>
      </c>
      <c r="H208" s="442">
        <f t="shared" si="29"/>
        <v>0</v>
      </c>
      <c r="I208" s="365" t="e">
        <f>TablaValoresProducto[[#This Row],[Valor impresion total]]/G101</f>
        <v>#DIV/0!</v>
      </c>
      <c r="Z208" s="330"/>
      <c r="AA208" s="334"/>
      <c r="AB208" s="334"/>
      <c r="AC208" s="272"/>
      <c r="AD208" s="124"/>
      <c r="AE208" s="152"/>
      <c r="AJ208" s="152"/>
      <c r="AK208" s="352"/>
    </row>
    <row r="209" spans="1:43" ht="15.75">
      <c r="A209" s="323">
        <v>93</v>
      </c>
      <c r="B209" s="448">
        <f t="shared" si="27"/>
        <v>0</v>
      </c>
      <c r="C209" s="365">
        <f t="shared" si="28"/>
        <v>0</v>
      </c>
      <c r="D209" s="365" t="e">
        <f>IF(ISNUMBER(C209),VLOOKUP(B209,Productos!$A$2:$G$111,7,FALSE),0)</f>
        <v>#N/A</v>
      </c>
      <c r="E209" s="365" t="e">
        <f>IF(B209&lt;&gt;"",VLOOKUP(B209,Productos!$A$2:$G$116,6,FALSE),0)</f>
        <v>#N/A</v>
      </c>
      <c r="F209" s="365"/>
      <c r="G209" s="365" t="e">
        <f>IF(B209="Caja + Backlight",'NV CAJAS (BL)'!L119+TablaValoresProducto[[#This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total]]/G102+TablaValoresProducto[[#This Row],[Estructura]]+TablaValoresProducto[[#This Row],[Terminaciones]]+TablaValoresProducto[[#This Row],[Otros x1]],0))</f>
        <v>#DIV/0!</v>
      </c>
      <c r="H209" s="442">
        <f t="shared" si="29"/>
        <v>0</v>
      </c>
      <c r="I209" s="365" t="e">
        <f>TablaValoresProducto[[#This Row],[Valor impresion total]]/G102</f>
        <v>#DIV/0!</v>
      </c>
      <c r="Z209" s="330"/>
      <c r="AA209" s="334"/>
      <c r="AB209" s="334"/>
      <c r="AC209" s="272"/>
      <c r="AD209" s="124"/>
      <c r="AE209" s="152"/>
      <c r="AJ209" s="152"/>
      <c r="AK209" s="352"/>
    </row>
    <row r="210" spans="1:43" ht="28.5">
      <c r="A210" s="323">
        <v>94</v>
      </c>
      <c r="B210" s="448">
        <f t="shared" si="27"/>
        <v>0</v>
      </c>
      <c r="C210" s="365">
        <f t="shared" si="28"/>
        <v>0</v>
      </c>
      <c r="D210" s="365" t="e">
        <f>IF(ISNUMBER(C210),VLOOKUP(B210,Productos!$A$2:$G$111,7,FALSE),0)</f>
        <v>#N/A</v>
      </c>
      <c r="E210" s="365" t="e">
        <f>IF(B210&lt;&gt;"",VLOOKUP(B210,Productos!$A$2:$G$116,6,FALSE),0)</f>
        <v>#N/A</v>
      </c>
      <c r="F210" s="365">
        <v>0</v>
      </c>
      <c r="G210" s="365" t="e">
        <f>IF(B210="Caja + Backlight",'NV CAJAS (BL)'!L120+TablaValoresProducto[[#This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total]]/G103+TablaValoresProducto[[#This Row],[Estructura]]+TablaValoresProducto[[#This Row],[Terminaciones]]+TablaValoresProducto[[#This Row],[Otros x1]],0))</f>
        <v>#DIV/0!</v>
      </c>
      <c r="H210" s="442">
        <f t="shared" si="29"/>
        <v>0</v>
      </c>
      <c r="I210" s="365" t="e">
        <f>TablaValoresProducto[[#This Row],[Valor impresion total]]/G103</f>
        <v>#DIV/0!</v>
      </c>
      <c r="Z210" s="330" t="s">
        <v>364</v>
      </c>
      <c r="AA210" s="334"/>
      <c r="AB210" s="334"/>
      <c r="AC210" s="271" t="s">
        <v>590</v>
      </c>
      <c r="AD210" s="125">
        <v>1.4</v>
      </c>
      <c r="AE210" s="151">
        <v>11000</v>
      </c>
      <c r="AJ210" s="152" t="s">
        <v>364</v>
      </c>
      <c r="AK210" s="352">
        <v>18000</v>
      </c>
      <c r="AQ210" s="323" t="s">
        <v>456</v>
      </c>
    </row>
    <row r="211" spans="1:43" ht="15.75">
      <c r="A211" s="323">
        <v>95</v>
      </c>
      <c r="B211" s="448">
        <f t="shared" si="27"/>
        <v>0</v>
      </c>
      <c r="C211" s="365">
        <f t="shared" si="28"/>
        <v>0</v>
      </c>
      <c r="D211" s="365" t="e">
        <f>IF(ISNUMBER(C211),VLOOKUP(B211,Productos!$A$2:$G$111,7,FALSE),0)</f>
        <v>#N/A</v>
      </c>
      <c r="E211" s="365" t="e">
        <f>IF(B211&lt;&gt;"",VLOOKUP(B211,Productos!$A$2:$G$116,6,FALSE),0)</f>
        <v>#N/A</v>
      </c>
      <c r="F211" s="365">
        <v>0</v>
      </c>
      <c r="G211" s="365" t="e">
        <f>IF(B211="Caja + Backlight",'NV CAJAS (BL)'!L121+TablaValoresProducto[[#This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total]]/G104+TablaValoresProducto[[#This Row],[Estructura]]+TablaValoresProducto[[#This Row],[Terminaciones]]+TablaValoresProducto[[#This Row],[Otros x1]],0))</f>
        <v>#DIV/0!</v>
      </c>
      <c r="H211" s="442">
        <f t="shared" si="29"/>
        <v>0</v>
      </c>
      <c r="I211" s="365" t="e">
        <f>TablaValoresProducto[[#This Row],[Valor impresion total]]/G104</f>
        <v>#DIV/0!</v>
      </c>
      <c r="Z211" s="328" t="s">
        <v>365</v>
      </c>
      <c r="AA211"/>
      <c r="AB211"/>
      <c r="AC211" s="271" t="s">
        <v>591</v>
      </c>
      <c r="AD211" s="125">
        <v>1.38</v>
      </c>
      <c r="AE211" s="151">
        <v>15000</v>
      </c>
      <c r="AJ211" s="125" t="s">
        <v>365</v>
      </c>
      <c r="AK211" s="352">
        <v>4000</v>
      </c>
      <c r="AQ211" s="323" t="s">
        <v>459</v>
      </c>
    </row>
    <row r="212" spans="1:43" ht="15.75">
      <c r="A212" s="323">
        <v>96</v>
      </c>
      <c r="B212" s="448">
        <f t="shared" si="27"/>
        <v>0</v>
      </c>
      <c r="C212" s="365">
        <f t="shared" si="28"/>
        <v>0</v>
      </c>
      <c r="D212" s="365" t="e">
        <f>IF(ISNUMBER(C212),VLOOKUP(B212,Productos!$A$2:$G$111,7,FALSE),0)</f>
        <v>#N/A</v>
      </c>
      <c r="E212" s="365" t="e">
        <f>IF(B212&lt;&gt;"",VLOOKUP(B212,Productos!$A$2:$G$116,6,FALSE),0)</f>
        <v>#N/A</v>
      </c>
      <c r="F212" s="365">
        <v>0</v>
      </c>
      <c r="G212" s="365" t="e">
        <f>IF(B212="Caja + Backlight",'NV CAJAS (BL)'!L122+TablaValoresProducto[[#This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total]]/G105+TablaValoresProducto[[#This Row],[Estructura]]+TablaValoresProducto[[#This Row],[Terminaciones]]+TablaValoresProducto[[#This Row],[Otros x1]],0))</f>
        <v>#DIV/0!</v>
      </c>
      <c r="H212" s="442">
        <f t="shared" si="29"/>
        <v>0</v>
      </c>
      <c r="I212" s="365" t="e">
        <f>TablaValoresProducto[[#This Row],[Valor impresion total]]/G105</f>
        <v>#DIV/0!</v>
      </c>
      <c r="Z212" s="328" t="s">
        <v>366</v>
      </c>
      <c r="AA212"/>
      <c r="AB212"/>
      <c r="AC212" s="271" t="s">
        <v>592</v>
      </c>
      <c r="AD212" s="125">
        <v>1.58</v>
      </c>
      <c r="AE212" s="151">
        <v>12000</v>
      </c>
      <c r="AJ212" s="125" t="s">
        <v>366</v>
      </c>
      <c r="AK212" s="352">
        <v>7000</v>
      </c>
      <c r="AN212" s="111" t="s">
        <v>209</v>
      </c>
      <c r="AO212" s="112">
        <v>0</v>
      </c>
      <c r="AQ212" s="323" t="s">
        <v>462</v>
      </c>
    </row>
    <row r="213" spans="1:43" ht="15.75">
      <c r="A213" s="323">
        <v>97</v>
      </c>
      <c r="B213" s="448">
        <f t="shared" ref="B213:B215" si="30">B106</f>
        <v>0</v>
      </c>
      <c r="C213" s="365">
        <f t="shared" ref="C213:C215" si="31">IF(ISNUMBER(K106),J106*K106,0)</f>
        <v>0</v>
      </c>
      <c r="D213" s="365" t="e">
        <f>IF(ISNUMBER(C213),VLOOKUP(B213,Productos!$A$2:$G$111,7,FALSE),0)</f>
        <v>#N/A</v>
      </c>
      <c r="E213" s="365" t="e">
        <f>IF(B213&lt;&gt;"",VLOOKUP(B213,Productos!$A$2:$G$116,6,FALSE),0)</f>
        <v>#N/A</v>
      </c>
      <c r="F213" s="365">
        <v>0</v>
      </c>
      <c r="G213" s="365" t="e">
        <f>IF(B213="Caja + Backlight",'NV CAJAS (BL)'!L123+TablaValoresProducto[[#This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total]]/G106+TablaValoresProducto[[#This Row],[Estructura]]+TablaValoresProducto[[#This Row],[Terminaciones]]+TablaValoresProducto[[#This Row],[Otros x1]],0))</f>
        <v>#DIV/0!</v>
      </c>
      <c r="H213" s="442">
        <f t="shared" ref="H213:H215" si="32">IF(ISNUMBER(G213),G213*G106,0)</f>
        <v>0</v>
      </c>
      <c r="I213" s="365" t="e">
        <f>TablaValoresProducto[[#This Row],[Valor impresion total]]/G106</f>
        <v>#DIV/0!</v>
      </c>
      <c r="Z213" s="329" t="s">
        <v>367</v>
      </c>
      <c r="AA213" s="107"/>
      <c r="AB213" s="107"/>
      <c r="AC213" s="271" t="s">
        <v>593</v>
      </c>
      <c r="AD213" s="125">
        <v>1.44</v>
      </c>
      <c r="AE213" s="151">
        <v>13000</v>
      </c>
      <c r="AJ213" s="124" t="s">
        <v>367</v>
      </c>
      <c r="AK213" s="352">
        <v>96000</v>
      </c>
      <c r="AN213" s="111" t="s">
        <v>210</v>
      </c>
      <c r="AO213" s="112">
        <v>0</v>
      </c>
      <c r="AQ213" s="323" t="s">
        <v>463</v>
      </c>
    </row>
    <row r="214" spans="1:43" ht="15.75">
      <c r="A214" s="323">
        <v>98</v>
      </c>
      <c r="B214" s="448">
        <f t="shared" si="30"/>
        <v>0</v>
      </c>
      <c r="C214" s="365">
        <f t="shared" si="31"/>
        <v>0</v>
      </c>
      <c r="D214" s="365" t="e">
        <f>IF(ISNUMBER(C214),VLOOKUP(B214,Productos!$A$2:$G$111,7,FALSE),0)</f>
        <v>#N/A</v>
      </c>
      <c r="E214" s="365" t="e">
        <f>IF(B214&lt;&gt;"",VLOOKUP(B214,Productos!$A$2:$G$116,6,FALSE),0)</f>
        <v>#N/A</v>
      </c>
      <c r="F214" s="365">
        <v>0</v>
      </c>
      <c r="G214" s="365" t="e">
        <f>IF(B214="Caja + Backlight",'NV CAJAS (BL)'!L124+TablaValoresProducto[[#This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total]]/G107+TablaValoresProducto[[#This Row],[Estructura]]+TablaValoresProducto[[#This Row],[Terminaciones]]+TablaValoresProducto[[#This Row],[Otros x1]],0))</f>
        <v>#DIV/0!</v>
      </c>
      <c r="H214" s="442">
        <f t="shared" si="32"/>
        <v>0</v>
      </c>
      <c r="I214" s="365" t="e">
        <f>TablaValoresProducto[[#This Row],[Valor impresion total]]/G107</f>
        <v>#DIV/0!</v>
      </c>
      <c r="Z214" s="328" t="s">
        <v>368</v>
      </c>
      <c r="AA214"/>
      <c r="AB214"/>
      <c r="AC214" s="272" t="s">
        <v>594</v>
      </c>
      <c r="AD214" s="124">
        <v>1.44</v>
      </c>
      <c r="AE214" s="152">
        <v>12500</v>
      </c>
      <c r="AJ214" s="125" t="s">
        <v>368</v>
      </c>
      <c r="AK214" s="354">
        <v>85000</v>
      </c>
      <c r="AN214" s="111" t="s">
        <v>211</v>
      </c>
      <c r="AO214" s="112">
        <v>0.05</v>
      </c>
      <c r="AQ214" s="323" t="s">
        <v>466</v>
      </c>
    </row>
    <row r="215" spans="1:43" ht="15.75">
      <c r="A215" s="323">
        <v>99</v>
      </c>
      <c r="B215" s="448">
        <f t="shared" si="30"/>
        <v>0</v>
      </c>
      <c r="C215" s="365">
        <f t="shared" si="31"/>
        <v>0</v>
      </c>
      <c r="D215" s="365" t="e">
        <f>IF(ISNUMBER(C215),VLOOKUP(B215,Productos!$A$2:$G$111,7,FALSE),0)</f>
        <v>#N/A</v>
      </c>
      <c r="E215" s="365" t="e">
        <f>IF(B215&lt;&gt;"",VLOOKUP(B215,Productos!$A$2:$G$116,6,FALSE),0)</f>
        <v>#N/A</v>
      </c>
      <c r="F215" s="365">
        <v>0</v>
      </c>
      <c r="G215" s="365" t="e">
        <f>IF(B215="Caja + Backlight",'NV CAJAS (BL)'!L125+TablaValoresProducto[[#This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total]]/G108+TablaValoresProducto[[#This Row],[Estructura]]+TablaValoresProducto[[#This Row],[Terminaciones]]+TablaValoresProducto[[#This Row],[Otros x1]],0))</f>
        <v>#DIV/0!</v>
      </c>
      <c r="H215" s="442">
        <f t="shared" si="32"/>
        <v>0</v>
      </c>
      <c r="I215" s="365" t="e">
        <f>TablaValoresProducto[[#This Row],[Valor impresion total]]/G108</f>
        <v>#DIV/0!</v>
      </c>
      <c r="Z215" s="328" t="s">
        <v>369</v>
      </c>
      <c r="AA215"/>
      <c r="AB215"/>
      <c r="AC215" s="272" t="s">
        <v>629</v>
      </c>
      <c r="AD215" s="124">
        <v>1.48</v>
      </c>
      <c r="AE215" s="152">
        <v>12000</v>
      </c>
      <c r="AJ215" s="125" t="s">
        <v>369</v>
      </c>
      <c r="AK215" s="354">
        <v>120000</v>
      </c>
      <c r="AN215" s="111" t="s">
        <v>212</v>
      </c>
      <c r="AO215" s="112">
        <v>0.1</v>
      </c>
      <c r="AQ215" s="323" t="s">
        <v>468</v>
      </c>
    </row>
    <row r="216" spans="1:43" ht="15.75">
      <c r="A216" s="323">
        <v>100</v>
      </c>
      <c r="B216" s="448">
        <f>B110</f>
        <v>0</v>
      </c>
      <c r="C216" s="365">
        <f>IF(ISNUMBER(K110),J110*K110,0)</f>
        <v>0</v>
      </c>
      <c r="D216" s="365" t="e">
        <f>IF(ISNUMBER(C216),VLOOKUP(B216,Productos!$A$2:$G$111,7,FALSE),0)</f>
        <v>#N/A</v>
      </c>
      <c r="E216" s="365" t="e">
        <f>IF(B216&lt;&gt;"",VLOOKUP(B216,Productos!$A$2:$G$116,6,FALSE),0)</f>
        <v>#N/A</v>
      </c>
      <c r="F216" s="365">
        <v>0</v>
      </c>
      <c r="G216" s="365" t="e">
        <f>IF(B216="Caja + Backlight",'NV CAJAS (BL)'!L126+TablaValoresProducto[[#This Row],[Valor Impresión Unit]]+TablaValoresProducto[[#This Row],[Estructura]]+TablaValoresProducto[[#This Row],[Terminaciones]]+TablaValoresProducto[[#This Row],[Otros x1]],IF(ISNUMBER(TablaValoresProducto[[#This Row],[Valor impresion total]]),TablaValoresProducto[[#This Row],[Valor impresion total]]/G109+TablaValoresProducto[[#This Row],[Estructura]]+TablaValoresProducto[[#This Row],[Terminaciones]]+TablaValoresProducto[[#This Row],[Otros x1]],0))</f>
        <v>#DIV/0!</v>
      </c>
      <c r="H216" s="442">
        <f t="shared" ref="H216" si="33">IF(ISNUMBER(G216),G216*G110,0)</f>
        <v>0</v>
      </c>
      <c r="I216" s="365" t="e">
        <f>TablaValoresProducto[[#This Row],[Valor impresion total]]/G109</f>
        <v>#DIV/0!</v>
      </c>
      <c r="Z216" s="328" t="s">
        <v>370</v>
      </c>
      <c r="AA216"/>
      <c r="AB216"/>
      <c r="AC216" s="397" t="s">
        <v>630</v>
      </c>
      <c r="AD216" s="149">
        <v>1.44</v>
      </c>
      <c r="AE216" s="151">
        <v>12600</v>
      </c>
      <c r="AJ216" s="125" t="s">
        <v>370</v>
      </c>
      <c r="AK216" s="354">
        <v>140000</v>
      </c>
      <c r="AN216" s="111" t="s">
        <v>213</v>
      </c>
      <c r="AO216" s="112">
        <v>0.2</v>
      </c>
      <c r="AQ216" s="323" t="s">
        <v>469</v>
      </c>
    </row>
    <row r="217" spans="1:43" ht="15" customHeight="1">
      <c r="Z217" s="330" t="s">
        <v>371</v>
      </c>
      <c r="AA217" s="334"/>
      <c r="AB217" s="334"/>
      <c r="AC217" s="271" t="s">
        <v>595</v>
      </c>
      <c r="AD217" s="125">
        <v>1.48</v>
      </c>
      <c r="AE217" s="151">
        <v>12500</v>
      </c>
      <c r="AJ217" s="152" t="s">
        <v>371</v>
      </c>
      <c r="AK217" s="355">
        <v>170000</v>
      </c>
      <c r="AO217" s="323">
        <f>IF(OR(B117="Textil Backlight",B117="Caja + Backlight"),
IF(J111&gt;50,SUM(H117:H216)*0.2,
IF(J111&gt;21,SUM(H117:H216)*0.1,
IF(J111&gt;10,SUM(H117:H216)*0.05,0))),0)</f>
        <v>0</v>
      </c>
      <c r="AQ217" s="323" t="s">
        <v>470</v>
      </c>
    </row>
    <row r="218" spans="1:43" ht="15" customHeight="1">
      <c r="Z218" s="328" t="s">
        <v>372</v>
      </c>
      <c r="AA218"/>
      <c r="AB218"/>
      <c r="AC218" s="271" t="s">
        <v>631</v>
      </c>
      <c r="AD218" s="125">
        <v>1.48</v>
      </c>
      <c r="AE218" s="151">
        <v>12300</v>
      </c>
      <c r="AJ218" s="125" t="s">
        <v>372</v>
      </c>
      <c r="AK218" s="354">
        <v>205000</v>
      </c>
      <c r="AQ218" s="323" t="s">
        <v>539</v>
      </c>
    </row>
    <row r="219" spans="1:43" ht="15" customHeight="1">
      <c r="Z219" s="329" t="s">
        <v>373</v>
      </c>
      <c r="AA219" s="107"/>
      <c r="AB219" s="107"/>
      <c r="AC219" s="398" t="s">
        <v>596</v>
      </c>
      <c r="AD219" s="327">
        <v>1.58</v>
      </c>
      <c r="AE219" s="152">
        <v>16320</v>
      </c>
      <c r="AJ219" s="124" t="s">
        <v>373</v>
      </c>
      <c r="AK219" s="355">
        <v>245000</v>
      </c>
      <c r="AQ219" s="323" t="s">
        <v>540</v>
      </c>
    </row>
    <row r="220" spans="1:43" ht="15" customHeight="1">
      <c r="Z220" s="328" t="s">
        <v>374</v>
      </c>
      <c r="AA220"/>
      <c r="AB220"/>
      <c r="AC220" s="272" t="s">
        <v>596</v>
      </c>
      <c r="AD220" s="124">
        <v>2.8</v>
      </c>
      <c r="AE220" s="152">
        <v>30000</v>
      </c>
      <c r="AJ220" s="125" t="s">
        <v>374</v>
      </c>
      <c r="AK220" s="352">
        <v>8000</v>
      </c>
      <c r="AQ220" s="323" t="s">
        <v>541</v>
      </c>
    </row>
    <row r="221" spans="1:43" ht="15" customHeight="1">
      <c r="Z221" s="328" t="s">
        <v>375</v>
      </c>
      <c r="AA221"/>
      <c r="AB221"/>
      <c r="AC221" s="271" t="s">
        <v>632</v>
      </c>
      <c r="AD221" s="125">
        <v>1.58</v>
      </c>
      <c r="AE221" s="151">
        <v>9600</v>
      </c>
      <c r="AJ221" s="125" t="s">
        <v>375</v>
      </c>
      <c r="AK221" s="352">
        <v>5000</v>
      </c>
      <c r="AQ221" s="323" t="s">
        <v>542</v>
      </c>
    </row>
    <row r="222" spans="1:43" ht="15" customHeight="1">
      <c r="Z222" s="328" t="s">
        <v>376</v>
      </c>
      <c r="AA222"/>
      <c r="AB222"/>
      <c r="AC222" s="271" t="s">
        <v>597</v>
      </c>
      <c r="AD222" s="125">
        <v>1.1000000000000001</v>
      </c>
      <c r="AE222" s="151">
        <v>12000</v>
      </c>
      <c r="AJ222" s="125" t="s">
        <v>376</v>
      </c>
      <c r="AK222" s="352">
        <v>4000</v>
      </c>
      <c r="AQ222" s="323" t="s">
        <v>543</v>
      </c>
    </row>
    <row r="223" spans="1:43" ht="15" customHeight="1">
      <c r="Z223" s="328" t="s">
        <v>377</v>
      </c>
      <c r="AA223"/>
      <c r="AB223"/>
      <c r="AC223" s="272" t="s">
        <v>598</v>
      </c>
      <c r="AD223" s="124">
        <v>1.1000000000000001</v>
      </c>
      <c r="AE223" s="152">
        <v>12000</v>
      </c>
      <c r="AJ223" s="125" t="s">
        <v>377</v>
      </c>
      <c r="AK223" s="352">
        <v>8000</v>
      </c>
      <c r="AQ223" s="323" t="s">
        <v>544</v>
      </c>
    </row>
    <row r="224" spans="1:43" ht="15" customHeight="1">
      <c r="Z224" s="328" t="s">
        <v>378</v>
      </c>
      <c r="AA224"/>
      <c r="AB224"/>
      <c r="AC224" s="272" t="s">
        <v>633</v>
      </c>
      <c r="AD224" s="124">
        <v>1.38</v>
      </c>
      <c r="AE224" s="152">
        <v>11100</v>
      </c>
      <c r="AJ224" s="125" t="s">
        <v>378</v>
      </c>
      <c r="AK224" s="352">
        <v>10000</v>
      </c>
      <c r="AQ224" s="323" t="s">
        <v>545</v>
      </c>
    </row>
    <row r="225" spans="25:43" ht="15" customHeight="1">
      <c r="Z225" s="328" t="s">
        <v>379</v>
      </c>
      <c r="AA225"/>
      <c r="AB225"/>
      <c r="AC225" s="272" t="s">
        <v>599</v>
      </c>
      <c r="AD225" s="124">
        <v>1.48</v>
      </c>
      <c r="AE225" s="152">
        <v>11300</v>
      </c>
      <c r="AJ225" s="125" t="s">
        <v>379</v>
      </c>
      <c r="AK225" s="352">
        <v>15000</v>
      </c>
      <c r="AQ225" s="323" t="s">
        <v>546</v>
      </c>
    </row>
    <row r="226" spans="25:43" ht="15" customHeight="1">
      <c r="Z226" s="330" t="s">
        <v>380</v>
      </c>
      <c r="AA226" s="334"/>
      <c r="AB226" s="334"/>
      <c r="AC226" s="271" t="s">
        <v>600</v>
      </c>
      <c r="AD226" s="125">
        <v>1.48</v>
      </c>
      <c r="AE226" s="151">
        <v>10800</v>
      </c>
      <c r="AJ226" s="152" t="s">
        <v>380</v>
      </c>
      <c r="AK226" s="352">
        <v>0</v>
      </c>
      <c r="AQ226" s="323" t="s">
        <v>547</v>
      </c>
    </row>
    <row r="227" spans="25:43" ht="15" customHeight="1">
      <c r="Z227" s="328" t="s">
        <v>381</v>
      </c>
      <c r="AA227"/>
      <c r="AB227"/>
      <c r="AC227" s="271" t="s">
        <v>601</v>
      </c>
      <c r="AD227" s="125">
        <v>2.2799999999999998</v>
      </c>
      <c r="AE227" s="151">
        <v>27400</v>
      </c>
      <c r="AJ227" s="125" t="s">
        <v>381</v>
      </c>
      <c r="AK227" s="352">
        <v>10000</v>
      </c>
      <c r="AQ227" s="323" t="s">
        <v>548</v>
      </c>
    </row>
    <row r="228" spans="25:43" ht="15" customHeight="1">
      <c r="Z228" s="328" t="s">
        <v>382</v>
      </c>
      <c r="AA228"/>
      <c r="AB228"/>
      <c r="AC228" s="272" t="s">
        <v>602</v>
      </c>
      <c r="AD228" s="124">
        <v>1.48</v>
      </c>
      <c r="AE228" s="152">
        <v>11000</v>
      </c>
      <c r="AJ228" s="125" t="s">
        <v>382</v>
      </c>
      <c r="AK228" s="353">
        <v>3000</v>
      </c>
      <c r="AQ228" s="323" t="s">
        <v>549</v>
      </c>
    </row>
    <row r="229" spans="25:43" ht="15" customHeight="1">
      <c r="Z229" s="328" t="s">
        <v>383</v>
      </c>
      <c r="AA229"/>
      <c r="AB229"/>
      <c r="AC229" s="271" t="s">
        <v>603</v>
      </c>
      <c r="AD229" s="125">
        <v>1.48</v>
      </c>
      <c r="AE229" s="151">
        <v>10000</v>
      </c>
      <c r="AJ229" s="125" t="s">
        <v>383</v>
      </c>
      <c r="AK229" s="352">
        <v>13000</v>
      </c>
      <c r="AQ229" s="323" t="s">
        <v>550</v>
      </c>
    </row>
    <row r="230" spans="25:43" ht="15" customHeight="1">
      <c r="Z230" s="328" t="s">
        <v>384</v>
      </c>
      <c r="AA230"/>
      <c r="AB230"/>
      <c r="AC230" s="272" t="s">
        <v>604</v>
      </c>
      <c r="AD230" s="124">
        <v>1.48</v>
      </c>
      <c r="AE230" s="152">
        <v>12500</v>
      </c>
      <c r="AJ230" s="125" t="s">
        <v>384</v>
      </c>
      <c r="AK230" s="352">
        <v>6000</v>
      </c>
      <c r="AQ230" s="323" t="s">
        <v>551</v>
      </c>
    </row>
    <row r="231" spans="25:43" ht="15" customHeight="1">
      <c r="Y231" s="323" t="s">
        <v>393</v>
      </c>
      <c r="Z231" s="332" t="s">
        <v>135</v>
      </c>
      <c r="AA231" s="107"/>
      <c r="AB231" s="107"/>
      <c r="AC231" s="271" t="s">
        <v>605</v>
      </c>
      <c r="AD231" s="125">
        <v>1.58</v>
      </c>
      <c r="AE231" s="151">
        <v>12000</v>
      </c>
      <c r="AQ231" s="323" t="s">
        <v>552</v>
      </c>
    </row>
    <row r="232" spans="25:43" ht="15" customHeight="1">
      <c r="Z232" s="333" t="s">
        <v>180</v>
      </c>
      <c r="AA232"/>
      <c r="AB232"/>
      <c r="AC232" s="271" t="s">
        <v>634</v>
      </c>
      <c r="AD232" s="125">
        <v>1.58</v>
      </c>
      <c r="AE232" s="151">
        <v>11000</v>
      </c>
      <c r="AQ232" s="323" t="s">
        <v>553</v>
      </c>
    </row>
    <row r="233" spans="25:43" ht="15" customHeight="1">
      <c r="Z233" s="333" t="s">
        <v>129</v>
      </c>
      <c r="AA233"/>
      <c r="AB233"/>
      <c r="AC233" s="271" t="s">
        <v>606</v>
      </c>
      <c r="AD233" s="125">
        <v>1.48</v>
      </c>
      <c r="AE233" s="151">
        <v>11500</v>
      </c>
      <c r="AQ233" s="323" t="s">
        <v>554</v>
      </c>
    </row>
    <row r="234" spans="25:43" ht="15" customHeight="1">
      <c r="Z234" s="333" t="s">
        <v>131</v>
      </c>
      <c r="AA234"/>
      <c r="AB234"/>
      <c r="AC234" s="272" t="s">
        <v>607</v>
      </c>
      <c r="AD234" s="124">
        <v>1.38</v>
      </c>
      <c r="AE234" s="152">
        <v>10000</v>
      </c>
      <c r="AQ234" s="323" t="s">
        <v>555</v>
      </c>
    </row>
    <row r="235" spans="25:43" ht="15" customHeight="1">
      <c r="Z235" s="332" t="s">
        <v>132</v>
      </c>
      <c r="AA235" s="107"/>
      <c r="AB235" s="107"/>
      <c r="AQ235" s="323" t="s">
        <v>556</v>
      </c>
    </row>
    <row r="236" spans="25:43" ht="15" customHeight="1">
      <c r="Z236" s="181" t="s">
        <v>138</v>
      </c>
      <c r="AA236"/>
      <c r="AB236"/>
      <c r="AQ236" s="323" t="s">
        <v>557</v>
      </c>
    </row>
    <row r="237" spans="25:43" ht="15" customHeight="1">
      <c r="Z237" s="181" t="s">
        <v>141</v>
      </c>
      <c r="AA237"/>
      <c r="AB237"/>
      <c r="AQ237" s="323" t="s">
        <v>558</v>
      </c>
    </row>
    <row r="238" spans="25:43" ht="15" customHeight="1">
      <c r="Z238" s="181" t="s">
        <v>8</v>
      </c>
      <c r="AA238"/>
      <c r="AB238"/>
      <c r="AQ238" s="323" t="s">
        <v>484</v>
      </c>
    </row>
    <row r="239" spans="25:43" ht="15" customHeight="1">
      <c r="Z239" s="181" t="s">
        <v>143</v>
      </c>
      <c r="AA239"/>
      <c r="AB239"/>
      <c r="AQ239" s="323" t="s">
        <v>487</v>
      </c>
    </row>
    <row r="240" spans="25:43" ht="15" customHeight="1">
      <c r="Z240" s="181" t="s">
        <v>142</v>
      </c>
      <c r="AA240"/>
      <c r="AB240"/>
      <c r="AQ240" s="323" t="s">
        <v>489</v>
      </c>
    </row>
    <row r="241" spans="26:43" ht="15" customHeight="1">
      <c r="Z241" s="182" t="s">
        <v>266</v>
      </c>
      <c r="AA241" s="59"/>
      <c r="AB241" s="59"/>
      <c r="AQ241" s="323" t="s">
        <v>490</v>
      </c>
    </row>
    <row r="242" spans="26:43" ht="15" customHeight="1">
      <c r="Z242" s="180" t="s">
        <v>145</v>
      </c>
      <c r="AA242" s="107"/>
      <c r="AB242" s="107"/>
      <c r="AQ242" s="323" t="s">
        <v>491</v>
      </c>
    </row>
    <row r="243" spans="26:43" ht="15" customHeight="1">
      <c r="Z243" s="183" t="s">
        <v>146</v>
      </c>
      <c r="AA243" s="68"/>
      <c r="AB243" s="68"/>
      <c r="AQ243" s="323" t="s">
        <v>492</v>
      </c>
    </row>
    <row r="244" spans="26:43" ht="15" customHeight="1">
      <c r="Z244" s="183" t="s">
        <v>147</v>
      </c>
      <c r="AA244" s="68"/>
      <c r="AB244" s="68"/>
      <c r="AQ244" s="323" t="s">
        <v>493</v>
      </c>
    </row>
    <row r="245" spans="26:43" ht="15" customHeight="1" thickBot="1">
      <c r="Z245" s="184" t="s">
        <v>173</v>
      </c>
      <c r="AA245" s="68"/>
      <c r="AB245" s="68"/>
      <c r="AQ245" s="323" t="s">
        <v>494</v>
      </c>
    </row>
    <row r="246" spans="26:43" ht="15" customHeight="1">
      <c r="Z246" s="323" t="s">
        <v>119</v>
      </c>
      <c r="AQ246" s="323" t="s">
        <v>495</v>
      </c>
    </row>
    <row r="247" spans="26:43" ht="15" customHeight="1">
      <c r="Z247" s="356"/>
      <c r="AQ247" s="323" t="s">
        <v>496</v>
      </c>
    </row>
    <row r="248" spans="26:43" ht="15" customHeight="1">
      <c r="AQ248" s="323" t="s">
        <v>497</v>
      </c>
    </row>
    <row r="249" spans="26:43" ht="15" customHeight="1">
      <c r="AQ249" s="323" t="s">
        <v>498</v>
      </c>
    </row>
    <row r="250" spans="26:43" ht="15" customHeight="1">
      <c r="AQ250" s="323" t="s">
        <v>499</v>
      </c>
    </row>
    <row r="251" spans="26:43" ht="15" customHeight="1">
      <c r="AQ251" s="323" t="s">
        <v>501</v>
      </c>
    </row>
    <row r="252" spans="26:43" ht="15" customHeight="1">
      <c r="AQ252" s="323" t="s">
        <v>502</v>
      </c>
    </row>
    <row r="253" spans="26:43" ht="15" customHeight="1">
      <c r="AQ253" s="323" t="s">
        <v>503</v>
      </c>
    </row>
    <row r="254" spans="26:43" ht="15" customHeight="1">
      <c r="AQ254" s="323" t="s">
        <v>504</v>
      </c>
    </row>
    <row r="255" spans="26:43" ht="15" customHeight="1">
      <c r="AQ255" s="323" t="s">
        <v>559</v>
      </c>
    </row>
    <row r="256" spans="26:43" ht="15" customHeight="1">
      <c r="AQ256" s="323" t="s">
        <v>560</v>
      </c>
    </row>
    <row r="257" spans="43:43" ht="15" customHeight="1">
      <c r="AQ257" s="323" t="s">
        <v>561</v>
      </c>
    </row>
    <row r="258" spans="43:43" ht="15" customHeight="1">
      <c r="AQ258" s="323" t="s">
        <v>562</v>
      </c>
    </row>
    <row r="259" spans="43:43" ht="15" customHeight="1">
      <c r="AQ259" s="323" t="s">
        <v>507</v>
      </c>
    </row>
    <row r="260" spans="43:43" ht="15" customHeight="1">
      <c r="AQ260" s="323" t="s">
        <v>509</v>
      </c>
    </row>
    <row r="261" spans="43:43" ht="15" customHeight="1">
      <c r="AQ261" s="323" t="s">
        <v>511</v>
      </c>
    </row>
    <row r="262" spans="43:43" ht="15" customHeight="1">
      <c r="AQ262" s="323" t="s">
        <v>512</v>
      </c>
    </row>
    <row r="263" spans="43:43" ht="15" customHeight="1">
      <c r="AQ263" s="323" t="s">
        <v>563</v>
      </c>
    </row>
    <row r="264" spans="43:43" ht="15" customHeight="1">
      <c r="AQ264" s="323" t="s">
        <v>564</v>
      </c>
    </row>
    <row r="265" spans="43:43" ht="15" customHeight="1">
      <c r="AQ265" s="323" t="s">
        <v>513</v>
      </c>
    </row>
    <row r="266" spans="43:43" ht="15" customHeight="1">
      <c r="AQ266" s="323" t="s">
        <v>514</v>
      </c>
    </row>
    <row r="267" spans="43:43" ht="15" customHeight="1">
      <c r="AQ267" s="323" t="s">
        <v>515</v>
      </c>
    </row>
    <row r="268" spans="43:43" ht="15" customHeight="1">
      <c r="AQ268" s="323" t="s">
        <v>516</v>
      </c>
    </row>
    <row r="269" spans="43:43" ht="15" customHeight="1">
      <c r="AQ269" s="323" t="s">
        <v>517</v>
      </c>
    </row>
    <row r="270" spans="43:43" ht="15" customHeight="1">
      <c r="AQ270" s="323" t="s">
        <v>518</v>
      </c>
    </row>
    <row r="271" spans="43:43" ht="15" customHeight="1">
      <c r="AQ271" s="323" t="s">
        <v>519</v>
      </c>
    </row>
    <row r="272" spans="43:43" ht="15" customHeight="1">
      <c r="AQ272" s="323" t="s">
        <v>522</v>
      </c>
    </row>
    <row r="273" spans="43:43" ht="15" customHeight="1">
      <c r="AQ273" s="323" t="s">
        <v>565</v>
      </c>
    </row>
    <row r="274" spans="43:43" ht="15" customHeight="1">
      <c r="AQ274" s="323" t="s">
        <v>566</v>
      </c>
    </row>
    <row r="275" spans="43:43" ht="15" customHeight="1">
      <c r="AQ275" s="323" t="s">
        <v>567</v>
      </c>
    </row>
    <row r="276" spans="43:43" ht="15" customHeight="1">
      <c r="AQ276" s="323" t="s">
        <v>568</v>
      </c>
    </row>
    <row r="277" spans="43:43" ht="15" customHeight="1">
      <c r="AQ277" s="323" t="s">
        <v>569</v>
      </c>
    </row>
    <row r="278" spans="43:43" ht="15" customHeight="1">
      <c r="AQ278" s="323" t="s">
        <v>570</v>
      </c>
    </row>
    <row r="279" spans="43:43" ht="15" customHeight="1">
      <c r="AQ279" s="323" t="s">
        <v>571</v>
      </c>
    </row>
    <row r="280" spans="43:43" ht="15" customHeight="1">
      <c r="AQ280" s="323" t="s">
        <v>572</v>
      </c>
    </row>
    <row r="281" spans="43:43" ht="15" customHeight="1">
      <c r="AQ281" s="323" t="s">
        <v>573</v>
      </c>
    </row>
    <row r="282" spans="43:43" ht="15" customHeight="1">
      <c r="AQ282" s="323" t="s">
        <v>574</v>
      </c>
    </row>
    <row r="283" spans="43:43" ht="15" customHeight="1">
      <c r="AQ283" s="323" t="s">
        <v>575</v>
      </c>
    </row>
    <row r="284" spans="43:43" ht="15" customHeight="1">
      <c r="AQ284" s="323" t="s">
        <v>576</v>
      </c>
    </row>
    <row r="285" spans="43:43" ht="15" customHeight="1">
      <c r="AQ285" s="323" t="s">
        <v>577</v>
      </c>
    </row>
    <row r="286" spans="43:43" ht="15" customHeight="1">
      <c r="AQ286" s="323" t="s">
        <v>578</v>
      </c>
    </row>
    <row r="287" spans="43:43" ht="15" customHeight="1">
      <c r="AQ287" s="323" t="s">
        <v>579</v>
      </c>
    </row>
  </sheetData>
  <mergeCells count="11">
    <mergeCell ref="C113:J113"/>
    <mergeCell ref="C114:J114"/>
    <mergeCell ref="C5:G5"/>
    <mergeCell ref="C6:G6"/>
    <mergeCell ref="C7:G7"/>
    <mergeCell ref="C112:J112"/>
    <mergeCell ref="B4:J4"/>
    <mergeCell ref="H1:I3"/>
    <mergeCell ref="I6:J6"/>
    <mergeCell ref="I7:J7"/>
    <mergeCell ref="I5:L5"/>
  </mergeCells>
  <dataValidations count="2">
    <dataValidation type="decimal" operator="greaterThan" allowBlank="1" showInputMessage="1" showErrorMessage="1" sqref="AH4" xr:uid="{08873200-51AE-4F66-802C-DAE68045F71C}">
      <formula1>0</formula1>
    </dataValidation>
    <dataValidation type="list" allowBlank="1" showInputMessage="1" showErrorMessage="1" sqref="C10:C110" xr:uid="{433AD74A-BCBB-43A0-889C-4E4987448B04}">
      <formula1>$AC$5:$AC$234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C60BB-D375-BD4E-82D5-9EF7EA5A2D2E}">
  <sheetPr>
    <tabColor rgb="FF7030A0"/>
    <pageSetUpPr fitToPage="1"/>
  </sheetPr>
  <dimension ref="A1:AM220"/>
  <sheetViews>
    <sheetView view="pageLayout" zoomScale="40" zoomScaleNormal="100" zoomScaleSheetLayoutView="85" zoomScalePageLayoutView="40" workbookViewId="0">
      <selection activeCell="A111" sqref="A111"/>
    </sheetView>
  </sheetViews>
  <sheetFormatPr baseColWidth="10" defaultColWidth="10.6640625" defaultRowHeight="15.75"/>
  <cols>
    <col min="1" max="1" width="10.6640625" style="59"/>
    <col min="2" max="2" width="14.1328125" style="59" customWidth="1"/>
    <col min="3" max="3" width="11.796875" style="59" customWidth="1"/>
    <col min="4" max="4" width="38.33203125" style="59" customWidth="1"/>
    <col min="5" max="5" width="9.46484375" style="59" customWidth="1"/>
    <col min="6" max="7" width="11.796875" style="59" customWidth="1"/>
    <col min="8" max="8" width="20" style="59" customWidth="1"/>
    <col min="9" max="9" width="21.1328125" style="59" customWidth="1"/>
    <col min="10" max="10" width="14.796875" style="59" hidden="1" customWidth="1"/>
    <col min="11" max="11" width="17.1328125" style="59" customWidth="1"/>
    <col min="12" max="12" width="19.6640625" style="59" customWidth="1"/>
    <col min="13" max="13" width="79.1328125" style="59" customWidth="1"/>
    <col min="14" max="24" width="11.33203125" style="59" hidden="1" customWidth="1"/>
    <col min="25" max="25" width="7.1328125" style="59" hidden="1" customWidth="1"/>
    <col min="26" max="26" width="3.1328125" style="59" hidden="1" customWidth="1"/>
    <col min="27" max="27" width="8.1328125" style="59" hidden="1" customWidth="1"/>
    <col min="28" max="28" width="41.1328125" style="59" hidden="1" customWidth="1"/>
    <col min="29" max="29" width="10.33203125" style="59" hidden="1" customWidth="1"/>
    <col min="30" max="31" width="8.6640625" style="59" hidden="1" customWidth="1"/>
    <col min="32" max="32" width="9.33203125" style="59" hidden="1" customWidth="1"/>
    <col min="33" max="34" width="8.6640625" style="59" hidden="1" customWidth="1"/>
    <col min="35" max="35" width="9.33203125" style="59" hidden="1" customWidth="1"/>
    <col min="36" max="36" width="8.6640625" style="59" hidden="1" customWidth="1"/>
    <col min="37" max="37" width="9.33203125" style="59" hidden="1" customWidth="1"/>
    <col min="38" max="38" width="0" style="59" hidden="1" customWidth="1"/>
    <col min="39" max="16384" width="10.6640625" style="59"/>
  </cols>
  <sheetData>
    <row r="1" spans="1:39" ht="40.5" customHeight="1" thickBot="1">
      <c r="H1" s="298" t="s">
        <v>38</v>
      </c>
      <c r="I1" s="141">
        <f>'Nota de venta'!H1</f>
        <v>0</v>
      </c>
      <c r="J1" s="299"/>
      <c r="AD1" s="477" t="s">
        <v>1</v>
      </c>
      <c r="AE1" s="478"/>
      <c r="AF1" s="479"/>
      <c r="AG1" s="477" t="s">
        <v>93</v>
      </c>
      <c r="AH1" s="478"/>
      <c r="AI1" s="479"/>
      <c r="AJ1" s="477" t="s">
        <v>56</v>
      </c>
      <c r="AK1" s="479"/>
    </row>
    <row r="2" spans="1:39" ht="30" customHeight="1">
      <c r="D2" s="60"/>
      <c r="E2" s="60"/>
      <c r="F2" s="60"/>
      <c r="G2" s="60"/>
      <c r="H2" s="60"/>
      <c r="I2" s="60"/>
      <c r="J2" s="60"/>
      <c r="Y2" s="59" t="s">
        <v>57</v>
      </c>
      <c r="Z2" s="59" t="s">
        <v>53</v>
      </c>
      <c r="AA2" s="59" t="s">
        <v>70</v>
      </c>
      <c r="AB2" s="134" t="s">
        <v>61</v>
      </c>
      <c r="AC2" s="135" t="s">
        <v>73</v>
      </c>
      <c r="AD2" s="74" t="s">
        <v>74</v>
      </c>
      <c r="AE2" s="134" t="s">
        <v>106</v>
      </c>
      <c r="AF2" s="75" t="s">
        <v>37</v>
      </c>
      <c r="AG2" s="74" t="s">
        <v>74</v>
      </c>
      <c r="AH2" s="134" t="s">
        <v>106</v>
      </c>
      <c r="AI2" s="75" t="s">
        <v>37</v>
      </c>
      <c r="AJ2" s="74" t="s">
        <v>50</v>
      </c>
      <c r="AK2" s="75" t="s">
        <v>12</v>
      </c>
      <c r="AL2" s="59" t="s">
        <v>75</v>
      </c>
    </row>
    <row r="3" spans="1:39">
      <c r="B3" s="62" t="s">
        <v>71</v>
      </c>
      <c r="C3" s="76">
        <f>'Nota de venta'!C2</f>
        <v>0</v>
      </c>
      <c r="D3" s="483"/>
      <c r="E3" s="483"/>
      <c r="F3" s="484"/>
      <c r="G3" s="484"/>
      <c r="H3" s="484"/>
      <c r="I3" s="103"/>
      <c r="J3" s="103"/>
      <c r="K3" s="62"/>
      <c r="L3" s="65"/>
      <c r="Y3" s="59" t="s">
        <v>58</v>
      </c>
      <c r="Z3" s="59" t="s">
        <v>54</v>
      </c>
      <c r="AA3" s="59" t="s">
        <v>93</v>
      </c>
      <c r="AB3" s="134" t="s">
        <v>22</v>
      </c>
      <c r="AC3" s="136">
        <v>35000</v>
      </c>
      <c r="AD3" s="77">
        <v>14000</v>
      </c>
      <c r="AE3" s="137">
        <v>12500</v>
      </c>
      <c r="AF3" s="78">
        <v>10500</v>
      </c>
      <c r="AG3" s="77">
        <v>11000</v>
      </c>
      <c r="AH3" s="137">
        <v>9500</v>
      </c>
      <c r="AI3" s="78">
        <v>8000</v>
      </c>
      <c r="AJ3" s="77">
        <v>9500</v>
      </c>
      <c r="AK3" s="78">
        <v>8000</v>
      </c>
      <c r="AL3" s="59" t="s">
        <v>113</v>
      </c>
    </row>
    <row r="4" spans="1:39" ht="27" customHeight="1">
      <c r="B4" s="488" t="s">
        <v>45</v>
      </c>
      <c r="C4" s="489"/>
      <c r="D4" s="489"/>
      <c r="E4" s="489"/>
      <c r="F4" s="489"/>
      <c r="G4" s="489"/>
      <c r="H4" s="489"/>
      <c r="I4" s="490"/>
      <c r="J4" s="308"/>
      <c r="K4" s="308"/>
      <c r="L4" s="308"/>
      <c r="Y4" s="59" t="s">
        <v>95</v>
      </c>
      <c r="AA4" s="59" t="s">
        <v>56</v>
      </c>
      <c r="AB4" s="134" t="s">
        <v>15</v>
      </c>
      <c r="AC4" s="136">
        <v>36000</v>
      </c>
      <c r="AD4" s="77">
        <v>15000</v>
      </c>
      <c r="AE4" s="137">
        <v>13000</v>
      </c>
      <c r="AF4" s="78">
        <v>11500</v>
      </c>
      <c r="AG4" s="77">
        <v>11500</v>
      </c>
      <c r="AH4" s="137">
        <v>10000</v>
      </c>
      <c r="AI4" s="78">
        <v>9000</v>
      </c>
      <c r="AJ4" s="77">
        <v>10000</v>
      </c>
      <c r="AK4" s="78">
        <v>9000</v>
      </c>
      <c r="AL4" s="59" t="s">
        <v>105</v>
      </c>
    </row>
    <row r="5" spans="1:39" ht="29" customHeight="1" thickBot="1">
      <c r="B5" s="79" t="s">
        <v>101</v>
      </c>
      <c r="C5" s="485">
        <f>'Nota de venta'!C5</f>
        <v>0</v>
      </c>
      <c r="D5" s="485"/>
      <c r="E5" s="118"/>
      <c r="F5" s="482" t="s">
        <v>337</v>
      </c>
      <c r="G5" s="482"/>
      <c r="H5" s="487">
        <f>'Nota de venta'!I6</f>
        <v>0</v>
      </c>
      <c r="I5" s="487"/>
      <c r="J5" s="117"/>
      <c r="Y5" s="59" t="s">
        <v>64</v>
      </c>
      <c r="AB5" s="134" t="s">
        <v>3</v>
      </c>
      <c r="AC5" s="136">
        <v>36000</v>
      </c>
      <c r="AD5" s="77">
        <v>15000</v>
      </c>
      <c r="AE5" s="137">
        <v>13000</v>
      </c>
      <c r="AF5" s="78">
        <v>11500</v>
      </c>
      <c r="AG5" s="77">
        <v>11500</v>
      </c>
      <c r="AH5" s="137">
        <v>10000</v>
      </c>
      <c r="AI5" s="78">
        <v>9000</v>
      </c>
      <c r="AJ5" s="77">
        <v>10000</v>
      </c>
      <c r="AK5" s="78">
        <v>9000</v>
      </c>
      <c r="AL5" s="59" t="s">
        <v>100</v>
      </c>
    </row>
    <row r="6" spans="1:39" ht="29" customHeight="1" thickBot="1">
      <c r="B6" s="79" t="s">
        <v>2</v>
      </c>
      <c r="C6" s="486">
        <f>'Nota de venta'!C6</f>
        <v>0</v>
      </c>
      <c r="D6" s="486"/>
      <c r="E6" s="79"/>
      <c r="F6" s="482" t="s">
        <v>395</v>
      </c>
      <c r="G6" s="482"/>
      <c r="H6" s="491">
        <f>'Nota de venta'!I5</f>
        <v>0</v>
      </c>
      <c r="I6" s="491"/>
      <c r="AB6" s="134" t="s">
        <v>82</v>
      </c>
      <c r="AC6" s="136">
        <v>40000</v>
      </c>
      <c r="AD6" s="77">
        <v>15500</v>
      </c>
      <c r="AE6" s="137">
        <v>13500</v>
      </c>
      <c r="AF6" s="78">
        <v>12000</v>
      </c>
      <c r="AG6" s="77">
        <v>12000</v>
      </c>
      <c r="AH6" s="137">
        <v>11000</v>
      </c>
      <c r="AI6" s="78">
        <v>10000</v>
      </c>
      <c r="AJ6" s="77">
        <v>11000</v>
      </c>
      <c r="AK6" s="78">
        <v>10000</v>
      </c>
      <c r="AL6" s="59" t="s">
        <v>96</v>
      </c>
      <c r="AM6" s="80"/>
    </row>
    <row r="7" spans="1:39" ht="29" customHeight="1" thickBot="1">
      <c r="B7" s="79" t="s">
        <v>621</v>
      </c>
      <c r="C7" s="480">
        <f>'Nota de venta'!C112</f>
        <v>0</v>
      </c>
      <c r="D7" s="480"/>
      <c r="E7" s="64"/>
      <c r="F7" s="482" t="s">
        <v>396</v>
      </c>
      <c r="G7" s="482"/>
      <c r="H7" s="481"/>
      <c r="I7" s="481"/>
      <c r="J7" s="64"/>
      <c r="AB7" s="134" t="s">
        <v>65</v>
      </c>
      <c r="AC7" s="136">
        <v>40000</v>
      </c>
      <c r="AD7" s="77">
        <v>16000</v>
      </c>
      <c r="AE7" s="137">
        <v>14000</v>
      </c>
      <c r="AF7" s="78">
        <v>12500</v>
      </c>
      <c r="AG7" s="77">
        <v>12500</v>
      </c>
      <c r="AH7" s="137">
        <v>11500</v>
      </c>
      <c r="AI7" s="78">
        <v>10500</v>
      </c>
      <c r="AJ7" s="77">
        <v>11500</v>
      </c>
      <c r="AK7" s="78">
        <v>10500</v>
      </c>
      <c r="AL7" s="59" t="s">
        <v>64</v>
      </c>
    </row>
    <row r="8" spans="1:39" ht="29" customHeight="1" thickBot="1">
      <c r="B8" s="79" t="s">
        <v>619</v>
      </c>
      <c r="C8" s="503">
        <f>'Nota de venta'!C113</f>
        <v>0</v>
      </c>
      <c r="D8" s="503"/>
      <c r="E8" s="503"/>
      <c r="F8" s="503"/>
      <c r="G8" s="503"/>
      <c r="H8" s="503"/>
      <c r="I8" s="503"/>
      <c r="J8" s="64"/>
      <c r="AB8" s="134"/>
      <c r="AC8" s="136"/>
      <c r="AD8" s="77"/>
      <c r="AE8" s="137"/>
      <c r="AF8" s="78"/>
      <c r="AG8" s="77"/>
      <c r="AH8" s="137"/>
      <c r="AI8" s="78"/>
      <c r="AJ8" s="77"/>
      <c r="AK8" s="78"/>
    </row>
    <row r="9" spans="1:39" ht="20" customHeight="1">
      <c r="B9" s="79"/>
      <c r="C9" s="425"/>
      <c r="D9" s="425"/>
      <c r="E9" s="64"/>
      <c r="F9" s="64"/>
      <c r="G9" s="64"/>
      <c r="H9" s="64"/>
      <c r="I9" s="64"/>
      <c r="J9" s="64"/>
      <c r="AB9" s="134"/>
      <c r="AC9" s="136"/>
      <c r="AD9" s="77"/>
      <c r="AE9" s="137"/>
      <c r="AF9" s="78"/>
      <c r="AG9" s="77"/>
      <c r="AH9" s="137"/>
      <c r="AI9" s="78"/>
      <c r="AJ9" s="77"/>
      <c r="AK9" s="78"/>
    </row>
    <row r="10" spans="1:39" ht="22.05" customHeight="1">
      <c r="B10" s="300" t="s">
        <v>151</v>
      </c>
      <c r="C10" s="301"/>
      <c r="D10" s="301"/>
      <c r="E10" s="301"/>
      <c r="F10" s="301"/>
      <c r="G10" s="301"/>
      <c r="H10" s="301"/>
      <c r="I10" s="302"/>
      <c r="J10" s="308"/>
      <c r="K10" s="308"/>
      <c r="L10" s="308"/>
      <c r="N10" s="59" t="e">
        <f>#REF!</f>
        <v>#REF!</v>
      </c>
      <c r="AB10" s="134" t="s">
        <v>20</v>
      </c>
      <c r="AC10" s="136">
        <v>40000</v>
      </c>
      <c r="AD10" s="77">
        <v>16500</v>
      </c>
      <c r="AE10" s="137">
        <v>14500</v>
      </c>
      <c r="AF10" s="78">
        <v>13000</v>
      </c>
      <c r="AG10" s="77">
        <v>13000</v>
      </c>
      <c r="AH10" s="137">
        <v>12000</v>
      </c>
      <c r="AI10" s="78">
        <v>11000</v>
      </c>
      <c r="AJ10" s="77">
        <v>12000</v>
      </c>
      <c r="AK10" s="78">
        <v>11000</v>
      </c>
    </row>
    <row r="11" spans="1:39" ht="29" customHeight="1" thickBot="1">
      <c r="B11" s="258" t="s">
        <v>229</v>
      </c>
      <c r="C11" s="259" t="s">
        <v>7</v>
      </c>
      <c r="D11" s="304" t="s">
        <v>72</v>
      </c>
      <c r="E11" s="259" t="s">
        <v>35</v>
      </c>
      <c r="F11" s="259" t="s">
        <v>27</v>
      </c>
      <c r="G11" s="259" t="s">
        <v>188</v>
      </c>
      <c r="H11" s="259" t="s">
        <v>116</v>
      </c>
      <c r="I11" s="260" t="s">
        <v>91</v>
      </c>
      <c r="X11" s="134" t="s">
        <v>89</v>
      </c>
      <c r="Y11" s="136">
        <v>45000</v>
      </c>
      <c r="Z11" s="81">
        <v>17000</v>
      </c>
      <c r="AA11" s="82">
        <v>15000</v>
      </c>
      <c r="AB11" s="138">
        <v>14000</v>
      </c>
      <c r="AC11" s="81">
        <v>14000</v>
      </c>
      <c r="AD11" s="82">
        <v>13000</v>
      </c>
      <c r="AE11" s="138">
        <v>12000</v>
      </c>
      <c r="AF11" s="81">
        <v>13000</v>
      </c>
      <c r="AG11" s="138">
        <v>12000</v>
      </c>
    </row>
    <row r="12" spans="1:39" ht="50.25" customHeight="1">
      <c r="A12" s="59">
        <v>1</v>
      </c>
      <c r="B12" s="256" t="str">
        <f>'Nota de venta'!L10</f>
        <v>Tema</v>
      </c>
      <c r="C12" s="303">
        <f>'Nota de venta'!G10</f>
        <v>0</v>
      </c>
      <c r="D12" s="385">
        <f>'Nota de venta'!B10</f>
        <v>0</v>
      </c>
      <c r="E12" s="318">
        <f>'Nota de venta'!E10</f>
        <v>0</v>
      </c>
      <c r="F12" s="319">
        <f>'Nota de venta'!F10</f>
        <v>0</v>
      </c>
      <c r="G12" s="319">
        <f>'Nota de venta'!J10</f>
        <v>0</v>
      </c>
      <c r="H12" s="140" t="e">
        <f>'Nota de venta'!G117</f>
        <v>#DIV/0!</v>
      </c>
      <c r="I12" s="257">
        <f>IF(ISNUMBER(COTIZACION[[#This Row],[valor unitario]]),COTIZACION[[#This Row],[valor unitario]]*COTIZACION[[#This Row],['#]],0)</f>
        <v>0</v>
      </c>
      <c r="K12" s="322"/>
    </row>
    <row r="13" spans="1:39" ht="50.25" customHeight="1">
      <c r="A13" s="59">
        <v>2</v>
      </c>
      <c r="B13" s="256">
        <f>'Nota de venta'!L11</f>
        <v>0</v>
      </c>
      <c r="C13" s="303">
        <f>'Nota de venta'!G11</f>
        <v>0</v>
      </c>
      <c r="D13" s="385">
        <f>'Nota de venta'!B11</f>
        <v>0</v>
      </c>
      <c r="E13" s="319">
        <f>'Nota de venta'!E11</f>
        <v>0</v>
      </c>
      <c r="F13" s="319">
        <f>'Nota de venta'!F11</f>
        <v>0</v>
      </c>
      <c r="G13" s="319">
        <f>'Nota de venta'!J11</f>
        <v>0</v>
      </c>
      <c r="H13" s="140" t="e">
        <f>'Nota de venta'!G118</f>
        <v>#DIV/0!</v>
      </c>
      <c r="I13" s="257">
        <f>IF(ISNUMBER(COTIZACION[[#This Row],[valor unitario]]),COTIZACION[[#This Row],[valor unitario]]*COTIZACION[[#This Row],['#]],0)</f>
        <v>0</v>
      </c>
      <c r="K13" s="322"/>
    </row>
    <row r="14" spans="1:39" ht="50.25" customHeight="1">
      <c r="A14" s="59">
        <v>3</v>
      </c>
      <c r="B14" s="256">
        <f>'Nota de venta'!L12</f>
        <v>0</v>
      </c>
      <c r="C14" s="303">
        <f>'Nota de venta'!G12</f>
        <v>0</v>
      </c>
      <c r="D14" s="385">
        <f>'Nota de venta'!B12</f>
        <v>0</v>
      </c>
      <c r="E14" s="319">
        <f>'Nota de venta'!E12</f>
        <v>0</v>
      </c>
      <c r="F14" s="319">
        <f>'Nota de venta'!F12</f>
        <v>0</v>
      </c>
      <c r="G14" s="319">
        <f>'Nota de venta'!J12</f>
        <v>0</v>
      </c>
      <c r="H14" s="140" t="e">
        <f>'Nota de venta'!G119</f>
        <v>#DIV/0!</v>
      </c>
      <c r="I14" s="257">
        <f>IF(ISNUMBER(COTIZACION[[#This Row],[valor unitario]]),COTIZACION[[#This Row],[valor unitario]]*COTIZACION[[#This Row],['#]],0)</f>
        <v>0</v>
      </c>
      <c r="K14" s="322"/>
    </row>
    <row r="15" spans="1:39" ht="50.25" customHeight="1">
      <c r="A15" s="59">
        <v>4</v>
      </c>
      <c r="B15" s="256">
        <f>'Nota de venta'!L13</f>
        <v>0</v>
      </c>
      <c r="C15" s="303">
        <f>'Nota de venta'!G13</f>
        <v>0</v>
      </c>
      <c r="D15" s="385">
        <f>'Nota de venta'!B13</f>
        <v>0</v>
      </c>
      <c r="E15" s="319">
        <f>'Nota de venta'!E13</f>
        <v>0</v>
      </c>
      <c r="F15" s="319">
        <f>'Nota de venta'!F13</f>
        <v>0</v>
      </c>
      <c r="G15" s="319">
        <f>'Nota de venta'!J13</f>
        <v>0</v>
      </c>
      <c r="H15" s="140" t="e">
        <f>'Nota de venta'!G120</f>
        <v>#DIV/0!</v>
      </c>
      <c r="I15" s="257">
        <f>IF(ISNUMBER(COTIZACION[[#This Row],[valor unitario]]),COTIZACION[[#This Row],[valor unitario]]*COTIZACION[[#This Row],['#]],0)</f>
        <v>0</v>
      </c>
      <c r="K15" s="322"/>
    </row>
    <row r="16" spans="1:39" ht="50.25" customHeight="1">
      <c r="A16" s="59">
        <v>5</v>
      </c>
      <c r="B16" s="256">
        <f>'Nota de venta'!L14</f>
        <v>0</v>
      </c>
      <c r="C16" s="303">
        <f>'Nota de venta'!G14</f>
        <v>0</v>
      </c>
      <c r="D16" s="385">
        <f>'Nota de venta'!B14</f>
        <v>0</v>
      </c>
      <c r="E16" s="319">
        <f>'Nota de venta'!E14</f>
        <v>0</v>
      </c>
      <c r="F16" s="319">
        <f>'Nota de venta'!F14</f>
        <v>0</v>
      </c>
      <c r="G16" s="319">
        <f>'Nota de venta'!J14</f>
        <v>0</v>
      </c>
      <c r="H16" s="140" t="e">
        <f>'Nota de venta'!G121</f>
        <v>#DIV/0!</v>
      </c>
      <c r="I16" s="257">
        <f>IF(ISNUMBER(COTIZACION[[#This Row],[valor unitario]]),COTIZACION[[#This Row],[valor unitario]]*COTIZACION[[#This Row],['#]],0)</f>
        <v>0</v>
      </c>
      <c r="K16" s="322"/>
    </row>
    <row r="17" spans="1:11" ht="50.25" customHeight="1">
      <c r="A17" s="59">
        <v>6</v>
      </c>
      <c r="B17" s="256">
        <f>'Nota de venta'!L15</f>
        <v>0</v>
      </c>
      <c r="C17" s="303">
        <f>'Nota de venta'!G15</f>
        <v>0</v>
      </c>
      <c r="D17" s="385">
        <f>'Nota de venta'!B15</f>
        <v>0</v>
      </c>
      <c r="E17" s="319">
        <f>'Nota de venta'!E15</f>
        <v>0</v>
      </c>
      <c r="F17" s="319">
        <f>'Nota de venta'!F15</f>
        <v>0</v>
      </c>
      <c r="G17" s="319">
        <f>'Nota de venta'!J15</f>
        <v>0</v>
      </c>
      <c r="H17" s="140" t="e">
        <f>'Nota de venta'!G122</f>
        <v>#DIV/0!</v>
      </c>
      <c r="I17" s="257">
        <f>IF(ISNUMBER(COTIZACION[[#This Row],[valor unitario]]),COTIZACION[[#This Row],[valor unitario]]*COTIZACION[[#This Row],['#]],0)</f>
        <v>0</v>
      </c>
      <c r="K17" s="322"/>
    </row>
    <row r="18" spans="1:11" ht="50.25" customHeight="1">
      <c r="A18" s="59">
        <v>7</v>
      </c>
      <c r="B18" s="256">
        <f>'Nota de venta'!L16</f>
        <v>0</v>
      </c>
      <c r="C18" s="303">
        <f>'Nota de venta'!G16</f>
        <v>0</v>
      </c>
      <c r="D18" s="385">
        <f>'Nota de venta'!B16</f>
        <v>0</v>
      </c>
      <c r="E18" s="319">
        <f>'Nota de venta'!E16</f>
        <v>0</v>
      </c>
      <c r="F18" s="319">
        <f>'Nota de venta'!F16</f>
        <v>0</v>
      </c>
      <c r="G18" s="319">
        <f>'Nota de venta'!J16</f>
        <v>0</v>
      </c>
      <c r="H18" s="140" t="e">
        <f>'Nota de venta'!G123</f>
        <v>#DIV/0!</v>
      </c>
      <c r="I18" s="257">
        <f>IF(ISNUMBER(COTIZACION[[#This Row],[valor unitario]]),COTIZACION[[#This Row],[valor unitario]]*COTIZACION[[#This Row],['#]],0)</f>
        <v>0</v>
      </c>
      <c r="K18" s="322"/>
    </row>
    <row r="19" spans="1:11" ht="50.25" customHeight="1">
      <c r="A19" s="59">
        <v>8</v>
      </c>
      <c r="B19" s="256">
        <f>'Nota de venta'!L17</f>
        <v>0</v>
      </c>
      <c r="C19" s="303">
        <f>'Nota de venta'!G17</f>
        <v>0</v>
      </c>
      <c r="D19" s="385">
        <f>'Nota de venta'!B17</f>
        <v>0</v>
      </c>
      <c r="E19" s="319">
        <f>'Nota de venta'!E17</f>
        <v>0</v>
      </c>
      <c r="F19" s="319">
        <f>'Nota de venta'!F17</f>
        <v>0</v>
      </c>
      <c r="G19" s="319">
        <f>'Nota de venta'!J17</f>
        <v>0</v>
      </c>
      <c r="H19" s="140" t="e">
        <f>'Nota de venta'!G124</f>
        <v>#DIV/0!</v>
      </c>
      <c r="I19" s="257">
        <f>IF(ISNUMBER(COTIZACION[[#This Row],[valor unitario]]),COTIZACION[[#This Row],[valor unitario]]*COTIZACION[[#This Row],['#]],0)</f>
        <v>0</v>
      </c>
      <c r="K19" s="322"/>
    </row>
    <row r="20" spans="1:11" ht="50.25" customHeight="1">
      <c r="A20" s="59">
        <v>9</v>
      </c>
      <c r="B20" s="256">
        <f>'Nota de venta'!L18</f>
        <v>0</v>
      </c>
      <c r="C20" s="303">
        <f>'Nota de venta'!G18</f>
        <v>0</v>
      </c>
      <c r="D20" s="385">
        <f>'Nota de venta'!B18</f>
        <v>0</v>
      </c>
      <c r="E20" s="319">
        <f>'Nota de venta'!E18</f>
        <v>0</v>
      </c>
      <c r="F20" s="319">
        <f>'Nota de venta'!F18</f>
        <v>0</v>
      </c>
      <c r="G20" s="319">
        <f>'Nota de venta'!J18</f>
        <v>0</v>
      </c>
      <c r="H20" s="140" t="e">
        <f>'Nota de venta'!G125</f>
        <v>#DIV/0!</v>
      </c>
      <c r="I20" s="257">
        <f>IF(ISNUMBER(COTIZACION[[#This Row],[valor unitario]]),COTIZACION[[#This Row],[valor unitario]]*COTIZACION[[#This Row],['#]],0)</f>
        <v>0</v>
      </c>
      <c r="K20" s="322"/>
    </row>
    <row r="21" spans="1:11" ht="50.25" customHeight="1">
      <c r="A21" s="59">
        <v>10</v>
      </c>
      <c r="B21" s="256">
        <f>'Nota de venta'!L19</f>
        <v>0</v>
      </c>
      <c r="C21" s="303">
        <f>'Nota de venta'!G19</f>
        <v>0</v>
      </c>
      <c r="D21" s="385">
        <f>'Nota de venta'!B19</f>
        <v>0</v>
      </c>
      <c r="E21" s="319">
        <f>'Nota de venta'!E19</f>
        <v>0</v>
      </c>
      <c r="F21" s="319">
        <f>'Nota de venta'!F19</f>
        <v>0</v>
      </c>
      <c r="G21" s="319">
        <f>'Nota de venta'!J19</f>
        <v>0</v>
      </c>
      <c r="H21" s="140" t="e">
        <f>'Nota de venta'!G126</f>
        <v>#DIV/0!</v>
      </c>
      <c r="I21" s="257">
        <f>IF(ISNUMBER(COTIZACION[[#This Row],[valor unitario]]),COTIZACION[[#This Row],[valor unitario]]*COTIZACION[[#This Row],['#]],0)</f>
        <v>0</v>
      </c>
      <c r="K21" s="322"/>
    </row>
    <row r="22" spans="1:11" ht="50.25" customHeight="1">
      <c r="A22" s="59">
        <v>11</v>
      </c>
      <c r="B22" s="256">
        <f>'Nota de venta'!L20</f>
        <v>0</v>
      </c>
      <c r="C22" s="303">
        <f>'Nota de venta'!G20</f>
        <v>0</v>
      </c>
      <c r="D22" s="385">
        <f>'Nota de venta'!B20</f>
        <v>0</v>
      </c>
      <c r="E22" s="319">
        <f>'Nota de venta'!E20</f>
        <v>0</v>
      </c>
      <c r="F22" s="319">
        <f>'Nota de venta'!F20</f>
        <v>0</v>
      </c>
      <c r="G22" s="319">
        <f>'Nota de venta'!J20</f>
        <v>0</v>
      </c>
      <c r="H22" s="140" t="e">
        <f>'Nota de venta'!G127</f>
        <v>#DIV/0!</v>
      </c>
      <c r="I22" s="257">
        <f>IF(ISNUMBER(COTIZACION[[#This Row],[valor unitario]]),COTIZACION[[#This Row],[valor unitario]]*COTIZACION[[#This Row],['#]],0)</f>
        <v>0</v>
      </c>
      <c r="K22" s="322"/>
    </row>
    <row r="23" spans="1:11" ht="50.25" customHeight="1">
      <c r="A23" s="59">
        <v>12</v>
      </c>
      <c r="B23" s="256">
        <f>'Nota de venta'!L21</f>
        <v>0</v>
      </c>
      <c r="C23" s="303">
        <f>'Nota de venta'!G21</f>
        <v>0</v>
      </c>
      <c r="D23" s="385">
        <f>'Nota de venta'!B21</f>
        <v>0</v>
      </c>
      <c r="E23" s="319">
        <f>'Nota de venta'!E21</f>
        <v>0</v>
      </c>
      <c r="F23" s="319">
        <f>'Nota de venta'!F21</f>
        <v>0</v>
      </c>
      <c r="G23" s="319">
        <f>'Nota de venta'!J21</f>
        <v>0</v>
      </c>
      <c r="H23" s="140" t="e">
        <f>'Nota de venta'!G128</f>
        <v>#DIV/0!</v>
      </c>
      <c r="I23" s="257">
        <f>IF(ISNUMBER(COTIZACION[[#This Row],[valor unitario]]),COTIZACION[[#This Row],[valor unitario]]*COTIZACION[[#This Row],['#]],0)</f>
        <v>0</v>
      </c>
      <c r="K23" s="322"/>
    </row>
    <row r="24" spans="1:11" ht="50.25" customHeight="1">
      <c r="A24" s="59">
        <v>13</v>
      </c>
      <c r="B24" s="256">
        <f>'Nota de venta'!L22</f>
        <v>0</v>
      </c>
      <c r="C24" s="303">
        <f>'Nota de venta'!G22</f>
        <v>0</v>
      </c>
      <c r="D24" s="385">
        <f>'Nota de venta'!B22</f>
        <v>0</v>
      </c>
      <c r="E24" s="319">
        <f>'Nota de venta'!E22</f>
        <v>0</v>
      </c>
      <c r="F24" s="319">
        <f>'Nota de venta'!F22</f>
        <v>0</v>
      </c>
      <c r="G24" s="319">
        <f>'Nota de venta'!J22</f>
        <v>0</v>
      </c>
      <c r="H24" s="140" t="e">
        <f>'Nota de venta'!G129</f>
        <v>#DIV/0!</v>
      </c>
      <c r="I24" s="257">
        <f>IF(ISNUMBER(COTIZACION[[#This Row],[valor unitario]]),COTIZACION[[#This Row],[valor unitario]]*COTIZACION[[#This Row],['#]],0)</f>
        <v>0</v>
      </c>
      <c r="K24" s="322"/>
    </row>
    <row r="25" spans="1:11" ht="50.25" customHeight="1">
      <c r="A25" s="59">
        <v>14</v>
      </c>
      <c r="B25" s="256">
        <f>'Nota de venta'!L23</f>
        <v>0</v>
      </c>
      <c r="C25" s="303">
        <f>'Nota de venta'!G23</f>
        <v>0</v>
      </c>
      <c r="D25" s="385">
        <f>'Nota de venta'!B23</f>
        <v>0</v>
      </c>
      <c r="E25" s="319">
        <f>'Nota de venta'!E23</f>
        <v>0</v>
      </c>
      <c r="F25" s="319">
        <f>'Nota de venta'!F23</f>
        <v>0</v>
      </c>
      <c r="G25" s="319">
        <f>'Nota de venta'!J23</f>
        <v>0</v>
      </c>
      <c r="H25" s="140" t="e">
        <f>'Nota de venta'!G130</f>
        <v>#DIV/0!</v>
      </c>
      <c r="I25" s="257">
        <f>IF(ISNUMBER(COTIZACION[[#This Row],[valor unitario]]),COTIZACION[[#This Row],[valor unitario]]*COTIZACION[[#This Row],['#]],0)</f>
        <v>0</v>
      </c>
      <c r="K25" s="322"/>
    </row>
    <row r="26" spans="1:11" ht="50.25" customHeight="1">
      <c r="A26" s="59">
        <v>15</v>
      </c>
      <c r="B26" s="256">
        <f>'Nota de venta'!L24</f>
        <v>0</v>
      </c>
      <c r="C26" s="303">
        <f>'Nota de venta'!G24</f>
        <v>0</v>
      </c>
      <c r="D26" s="385">
        <f>'Nota de venta'!B24</f>
        <v>0</v>
      </c>
      <c r="E26" s="319">
        <f>'Nota de venta'!E24</f>
        <v>0</v>
      </c>
      <c r="F26" s="319">
        <f>'Nota de venta'!F24</f>
        <v>0</v>
      </c>
      <c r="G26" s="319">
        <f>'Nota de venta'!J24</f>
        <v>0</v>
      </c>
      <c r="H26" s="140" t="e">
        <f>'Nota de venta'!G131</f>
        <v>#DIV/0!</v>
      </c>
      <c r="I26" s="257">
        <f>IF(ISNUMBER(COTIZACION[[#This Row],[valor unitario]]),COTIZACION[[#This Row],[valor unitario]]*COTIZACION[[#This Row],['#]],0)</f>
        <v>0</v>
      </c>
      <c r="K26" s="322"/>
    </row>
    <row r="27" spans="1:11" ht="50.25" customHeight="1">
      <c r="A27" s="59">
        <v>16</v>
      </c>
      <c r="B27" s="256">
        <f>'Nota de venta'!L25</f>
        <v>0</v>
      </c>
      <c r="C27" s="303">
        <f>'Nota de venta'!G25</f>
        <v>0</v>
      </c>
      <c r="D27" s="385">
        <f>'Nota de venta'!B25</f>
        <v>0</v>
      </c>
      <c r="E27" s="319">
        <f>'Nota de venta'!E25</f>
        <v>0</v>
      </c>
      <c r="F27" s="319">
        <f>'Nota de venta'!F25</f>
        <v>0</v>
      </c>
      <c r="G27" s="319">
        <f>'Nota de venta'!J25</f>
        <v>0</v>
      </c>
      <c r="H27" s="140" t="e">
        <f>'Nota de venta'!G132</f>
        <v>#DIV/0!</v>
      </c>
      <c r="I27" s="257">
        <f>IF(ISNUMBER(COTIZACION[[#This Row],[valor unitario]]),COTIZACION[[#This Row],[valor unitario]]*COTIZACION[[#This Row],['#]],0)</f>
        <v>0</v>
      </c>
      <c r="K27" s="322"/>
    </row>
    <row r="28" spans="1:11" ht="50.25" customHeight="1">
      <c r="A28" s="59">
        <v>17</v>
      </c>
      <c r="B28" s="256">
        <f>'Nota de venta'!L26</f>
        <v>0</v>
      </c>
      <c r="C28" s="303">
        <f>'Nota de venta'!G26</f>
        <v>0</v>
      </c>
      <c r="D28" s="385">
        <f>'Nota de venta'!B26</f>
        <v>0</v>
      </c>
      <c r="E28" s="319">
        <f>'Nota de venta'!E26</f>
        <v>0</v>
      </c>
      <c r="F28" s="319">
        <f>'Nota de venta'!F26</f>
        <v>0</v>
      </c>
      <c r="G28" s="319">
        <f>'Nota de venta'!J26</f>
        <v>0</v>
      </c>
      <c r="H28" s="140" t="e">
        <f>'Nota de venta'!G133</f>
        <v>#DIV/0!</v>
      </c>
      <c r="I28" s="257">
        <f>IF(ISNUMBER(COTIZACION[[#This Row],[valor unitario]]),COTIZACION[[#This Row],[valor unitario]]*COTIZACION[[#This Row],['#]],0)</f>
        <v>0</v>
      </c>
      <c r="K28" s="322"/>
    </row>
    <row r="29" spans="1:11" ht="50.25" customHeight="1">
      <c r="A29" s="59">
        <v>18</v>
      </c>
      <c r="B29" s="256">
        <f>'Nota de venta'!L27</f>
        <v>0</v>
      </c>
      <c r="C29" s="303">
        <f>'Nota de venta'!G27</f>
        <v>0</v>
      </c>
      <c r="D29" s="385">
        <f>'Nota de venta'!B27</f>
        <v>0</v>
      </c>
      <c r="E29" s="319">
        <f>'Nota de venta'!E27</f>
        <v>0</v>
      </c>
      <c r="F29" s="319">
        <f>'Nota de venta'!F27</f>
        <v>0</v>
      </c>
      <c r="G29" s="319">
        <f>'Nota de venta'!J27</f>
        <v>0</v>
      </c>
      <c r="H29" s="140" t="e">
        <f>'Nota de venta'!G134</f>
        <v>#DIV/0!</v>
      </c>
      <c r="I29" s="257">
        <f>IF(ISNUMBER(COTIZACION[[#This Row],[valor unitario]]),COTIZACION[[#This Row],[valor unitario]]*COTIZACION[[#This Row],['#]],0)</f>
        <v>0</v>
      </c>
      <c r="K29" s="322"/>
    </row>
    <row r="30" spans="1:11" ht="50.25" customHeight="1">
      <c r="A30" s="59">
        <v>19</v>
      </c>
      <c r="B30" s="256">
        <f>'Nota de venta'!L28</f>
        <v>0</v>
      </c>
      <c r="C30" s="303">
        <f>'Nota de venta'!G28</f>
        <v>0</v>
      </c>
      <c r="D30" s="385">
        <f>'Nota de venta'!B28</f>
        <v>0</v>
      </c>
      <c r="E30" s="319">
        <f>'Nota de venta'!E28</f>
        <v>0</v>
      </c>
      <c r="F30" s="319">
        <f>'Nota de venta'!F28</f>
        <v>0</v>
      </c>
      <c r="G30" s="319">
        <f>'Nota de venta'!J28</f>
        <v>0</v>
      </c>
      <c r="H30" s="140" t="e">
        <f>'Nota de venta'!G135</f>
        <v>#DIV/0!</v>
      </c>
      <c r="I30" s="257">
        <f>IF(ISNUMBER(COTIZACION[[#This Row],[valor unitario]]),COTIZACION[[#This Row],[valor unitario]]*COTIZACION[[#This Row],['#]],0)</f>
        <v>0</v>
      </c>
      <c r="K30" s="322"/>
    </row>
    <row r="31" spans="1:11" ht="50.25" customHeight="1">
      <c r="A31" s="59">
        <v>20</v>
      </c>
      <c r="B31" s="256">
        <f>'Nota de venta'!L29</f>
        <v>0</v>
      </c>
      <c r="C31" s="303">
        <f>'Nota de venta'!G29</f>
        <v>0</v>
      </c>
      <c r="D31" s="385">
        <f>'Nota de venta'!B29</f>
        <v>0</v>
      </c>
      <c r="E31" s="319">
        <f>'Nota de venta'!E29</f>
        <v>0</v>
      </c>
      <c r="F31" s="319">
        <f>'Nota de venta'!F29</f>
        <v>0</v>
      </c>
      <c r="G31" s="319">
        <f>'Nota de venta'!J29</f>
        <v>0</v>
      </c>
      <c r="H31" s="140" t="e">
        <f>'Nota de venta'!G136</f>
        <v>#DIV/0!</v>
      </c>
      <c r="I31" s="257">
        <f>IF(ISNUMBER(COTIZACION[[#This Row],[valor unitario]]),COTIZACION[[#This Row],[valor unitario]]*COTIZACION[[#This Row],['#]],0)</f>
        <v>0</v>
      </c>
      <c r="K31" s="322"/>
    </row>
    <row r="32" spans="1:11" ht="50.25" customHeight="1">
      <c r="A32" s="59">
        <v>21</v>
      </c>
      <c r="B32" s="256">
        <f>'Nota de venta'!L30</f>
        <v>0</v>
      </c>
      <c r="C32" s="303">
        <f>'Nota de venta'!G30</f>
        <v>0</v>
      </c>
      <c r="D32" s="385">
        <f>'Nota de venta'!B30</f>
        <v>0</v>
      </c>
      <c r="E32" s="319">
        <f>'Nota de venta'!E30</f>
        <v>0</v>
      </c>
      <c r="F32" s="319">
        <f>'Nota de venta'!F30</f>
        <v>0</v>
      </c>
      <c r="G32" s="319">
        <f>'Nota de venta'!J30</f>
        <v>0</v>
      </c>
      <c r="H32" s="140" t="e">
        <f>'Nota de venta'!G137</f>
        <v>#DIV/0!</v>
      </c>
      <c r="I32" s="257">
        <f>IF(ISNUMBER(COTIZACION[[#This Row],[valor unitario]]),COTIZACION[[#This Row],[valor unitario]]*COTIZACION[[#This Row],['#]],0)</f>
        <v>0</v>
      </c>
      <c r="K32" s="322"/>
    </row>
    <row r="33" spans="1:11" ht="50.25" customHeight="1">
      <c r="A33" s="59">
        <v>22</v>
      </c>
      <c r="B33" s="256">
        <f>'Nota de venta'!L31</f>
        <v>0</v>
      </c>
      <c r="C33" s="303">
        <f>'Nota de venta'!G31</f>
        <v>0</v>
      </c>
      <c r="D33" s="385">
        <f>'Nota de venta'!B31</f>
        <v>0</v>
      </c>
      <c r="E33" s="319">
        <f>'Nota de venta'!E31</f>
        <v>0</v>
      </c>
      <c r="F33" s="319">
        <f>'Nota de venta'!F31</f>
        <v>0</v>
      </c>
      <c r="G33" s="319">
        <f>'Nota de venta'!J31</f>
        <v>0</v>
      </c>
      <c r="H33" s="140" t="e">
        <f>'Nota de venta'!G138</f>
        <v>#DIV/0!</v>
      </c>
      <c r="I33" s="257">
        <f>IF(ISNUMBER(COTIZACION[[#This Row],[valor unitario]]),COTIZACION[[#This Row],[valor unitario]]*COTIZACION[[#This Row],['#]],0)</f>
        <v>0</v>
      </c>
      <c r="K33" s="322"/>
    </row>
    <row r="34" spans="1:11" ht="50.25" customHeight="1">
      <c r="A34" s="59">
        <v>23</v>
      </c>
      <c r="B34" s="256">
        <f>'Nota de venta'!L32</f>
        <v>0</v>
      </c>
      <c r="C34" s="303">
        <f>'Nota de venta'!G32</f>
        <v>0</v>
      </c>
      <c r="D34" s="385">
        <f>'Nota de venta'!B32</f>
        <v>0</v>
      </c>
      <c r="E34" s="319">
        <f>'Nota de venta'!E32</f>
        <v>0</v>
      </c>
      <c r="F34" s="319">
        <f>'Nota de venta'!F32</f>
        <v>0</v>
      </c>
      <c r="G34" s="319">
        <f>'Nota de venta'!J32</f>
        <v>0</v>
      </c>
      <c r="H34" s="140" t="e">
        <f>'Nota de venta'!G139</f>
        <v>#DIV/0!</v>
      </c>
      <c r="I34" s="257">
        <f>IF(ISNUMBER(COTIZACION[[#This Row],[valor unitario]]),COTIZACION[[#This Row],[valor unitario]]*COTIZACION[[#This Row],['#]],0)</f>
        <v>0</v>
      </c>
      <c r="K34" s="322"/>
    </row>
    <row r="35" spans="1:11" ht="50.25" customHeight="1">
      <c r="A35" s="59">
        <v>24</v>
      </c>
      <c r="B35" s="256">
        <f>'Nota de venta'!L33</f>
        <v>0</v>
      </c>
      <c r="C35" s="303">
        <f>'Nota de venta'!G33</f>
        <v>0</v>
      </c>
      <c r="D35" s="385">
        <f>'Nota de venta'!B33</f>
        <v>0</v>
      </c>
      <c r="E35" s="319">
        <f>'Nota de venta'!E33</f>
        <v>0</v>
      </c>
      <c r="F35" s="319">
        <f>'Nota de venta'!F33</f>
        <v>0</v>
      </c>
      <c r="G35" s="319">
        <f>'Nota de venta'!J33</f>
        <v>0</v>
      </c>
      <c r="H35" s="140" t="e">
        <f>'Nota de venta'!G140</f>
        <v>#DIV/0!</v>
      </c>
      <c r="I35" s="257">
        <f>IF(ISNUMBER(COTIZACION[[#This Row],[valor unitario]]),COTIZACION[[#This Row],[valor unitario]]*COTIZACION[[#This Row],['#]],0)</f>
        <v>0</v>
      </c>
      <c r="K35" s="322"/>
    </row>
    <row r="36" spans="1:11" ht="50.25" customHeight="1">
      <c r="A36" s="59">
        <v>25</v>
      </c>
      <c r="B36" s="256">
        <f>'Nota de venta'!L34</f>
        <v>0</v>
      </c>
      <c r="C36" s="303">
        <f>'Nota de venta'!G34</f>
        <v>0</v>
      </c>
      <c r="D36" s="385">
        <f>'Nota de venta'!B34</f>
        <v>0</v>
      </c>
      <c r="E36" s="319">
        <f>'Nota de venta'!E34</f>
        <v>0</v>
      </c>
      <c r="F36" s="319">
        <f>'Nota de venta'!F34</f>
        <v>0</v>
      </c>
      <c r="G36" s="319">
        <f>'Nota de venta'!J34</f>
        <v>0</v>
      </c>
      <c r="H36" s="140" t="e">
        <f>'Nota de venta'!G141</f>
        <v>#DIV/0!</v>
      </c>
      <c r="I36" s="257">
        <f>IF(ISNUMBER(COTIZACION[[#This Row],[valor unitario]]),COTIZACION[[#This Row],[valor unitario]]*COTIZACION[[#This Row],['#]],0)</f>
        <v>0</v>
      </c>
      <c r="K36" s="322"/>
    </row>
    <row r="37" spans="1:11" ht="50.25" customHeight="1">
      <c r="A37" s="59">
        <v>26</v>
      </c>
      <c r="B37" s="256">
        <f>'Nota de venta'!L35</f>
        <v>0</v>
      </c>
      <c r="C37" s="303">
        <f>'Nota de venta'!G35</f>
        <v>0</v>
      </c>
      <c r="D37" s="385">
        <f>'Nota de venta'!B35</f>
        <v>0</v>
      </c>
      <c r="E37" s="319">
        <f>'Nota de venta'!E35</f>
        <v>0</v>
      </c>
      <c r="F37" s="319">
        <f>'Nota de venta'!F35</f>
        <v>0</v>
      </c>
      <c r="G37" s="319">
        <f>'Nota de venta'!J35</f>
        <v>0</v>
      </c>
      <c r="H37" s="140" t="e">
        <f>'Nota de venta'!G142</f>
        <v>#DIV/0!</v>
      </c>
      <c r="I37" s="257">
        <f>IF(ISNUMBER(COTIZACION[[#This Row],[valor unitario]]),COTIZACION[[#This Row],[valor unitario]]*COTIZACION[[#This Row],['#]],0)</f>
        <v>0</v>
      </c>
      <c r="K37" s="322"/>
    </row>
    <row r="38" spans="1:11" ht="50.25" customHeight="1">
      <c r="A38" s="59">
        <v>27</v>
      </c>
      <c r="B38" s="256">
        <f>'Nota de venta'!L36</f>
        <v>0</v>
      </c>
      <c r="C38" s="303">
        <f>'Nota de venta'!G36</f>
        <v>0</v>
      </c>
      <c r="D38" s="385">
        <f>'Nota de venta'!B36</f>
        <v>0</v>
      </c>
      <c r="E38" s="319">
        <f>'Nota de venta'!E36</f>
        <v>0</v>
      </c>
      <c r="F38" s="319">
        <f>'Nota de venta'!F36</f>
        <v>0</v>
      </c>
      <c r="G38" s="319">
        <f>'Nota de venta'!J36</f>
        <v>0</v>
      </c>
      <c r="H38" s="140" t="e">
        <f>'Nota de venta'!G143</f>
        <v>#DIV/0!</v>
      </c>
      <c r="I38" s="257">
        <f>IF(ISNUMBER(COTIZACION[[#This Row],[valor unitario]]),COTIZACION[[#This Row],[valor unitario]]*COTIZACION[[#This Row],['#]],0)</f>
        <v>0</v>
      </c>
      <c r="K38" s="322"/>
    </row>
    <row r="39" spans="1:11" ht="50.25" customHeight="1">
      <c r="A39" s="59">
        <v>28</v>
      </c>
      <c r="B39" s="256">
        <f>'Nota de venta'!L37</f>
        <v>0</v>
      </c>
      <c r="C39" s="303">
        <f>'Nota de venta'!G37</f>
        <v>0</v>
      </c>
      <c r="D39" s="385">
        <f>'Nota de venta'!B37</f>
        <v>0</v>
      </c>
      <c r="E39" s="319">
        <f>'Nota de venta'!E37</f>
        <v>0</v>
      </c>
      <c r="F39" s="319">
        <f>'Nota de venta'!F37</f>
        <v>0</v>
      </c>
      <c r="G39" s="319">
        <f>'Nota de venta'!J37</f>
        <v>0</v>
      </c>
      <c r="H39" s="140" t="e">
        <f>'Nota de venta'!G144</f>
        <v>#DIV/0!</v>
      </c>
      <c r="I39" s="257">
        <f>IF(ISNUMBER(COTIZACION[[#This Row],[valor unitario]]),COTIZACION[[#This Row],[valor unitario]]*COTIZACION[[#This Row],['#]],0)</f>
        <v>0</v>
      </c>
      <c r="K39" s="322"/>
    </row>
    <row r="40" spans="1:11" ht="50.25" customHeight="1">
      <c r="A40" s="59">
        <v>29</v>
      </c>
      <c r="B40" s="256">
        <f>'Nota de venta'!L38</f>
        <v>0</v>
      </c>
      <c r="C40" s="303">
        <f>'Nota de venta'!G38</f>
        <v>0</v>
      </c>
      <c r="D40" s="385">
        <f>'Nota de venta'!B38</f>
        <v>0</v>
      </c>
      <c r="E40" s="319">
        <f>'Nota de venta'!E38</f>
        <v>0</v>
      </c>
      <c r="F40" s="319">
        <f>'Nota de venta'!F38</f>
        <v>0</v>
      </c>
      <c r="G40" s="319">
        <f>'Nota de venta'!J38</f>
        <v>0</v>
      </c>
      <c r="H40" s="140" t="e">
        <f>'Nota de venta'!G145</f>
        <v>#DIV/0!</v>
      </c>
      <c r="I40" s="257">
        <f>IF(ISNUMBER(COTIZACION[[#This Row],[valor unitario]]),COTIZACION[[#This Row],[valor unitario]]*COTIZACION[[#This Row],['#]],0)</f>
        <v>0</v>
      </c>
      <c r="K40" s="322"/>
    </row>
    <row r="41" spans="1:11" ht="50.25" customHeight="1">
      <c r="A41" s="59">
        <v>30</v>
      </c>
      <c r="B41" s="256">
        <f>'Nota de venta'!L39</f>
        <v>0</v>
      </c>
      <c r="C41" s="303">
        <f>'Nota de venta'!G39</f>
        <v>0</v>
      </c>
      <c r="D41" s="385">
        <f>'Nota de venta'!B39</f>
        <v>0</v>
      </c>
      <c r="E41" s="319">
        <f>'Nota de venta'!E39</f>
        <v>0</v>
      </c>
      <c r="F41" s="319">
        <f>'Nota de venta'!F39</f>
        <v>0</v>
      </c>
      <c r="G41" s="319">
        <f>'Nota de venta'!J39</f>
        <v>0</v>
      </c>
      <c r="H41" s="140" t="e">
        <f>'Nota de venta'!G146</f>
        <v>#DIV/0!</v>
      </c>
      <c r="I41" s="257">
        <f>IF(ISNUMBER(COTIZACION[[#This Row],[valor unitario]]),COTIZACION[[#This Row],[valor unitario]]*COTIZACION[[#This Row],['#]],0)</f>
        <v>0</v>
      </c>
      <c r="K41" s="322"/>
    </row>
    <row r="42" spans="1:11" ht="50.25" customHeight="1">
      <c r="A42" s="59">
        <v>31</v>
      </c>
      <c r="B42" s="256">
        <f>'Nota de venta'!L40</f>
        <v>0</v>
      </c>
      <c r="C42" s="303">
        <f>'Nota de venta'!G40</f>
        <v>0</v>
      </c>
      <c r="D42" s="385">
        <f>'Nota de venta'!B40</f>
        <v>0</v>
      </c>
      <c r="E42" s="319">
        <f>'Nota de venta'!E40</f>
        <v>0</v>
      </c>
      <c r="F42" s="319">
        <f>'Nota de venta'!F40</f>
        <v>0</v>
      </c>
      <c r="G42" s="319">
        <f>'Nota de venta'!J40</f>
        <v>0</v>
      </c>
      <c r="H42" s="140" t="e">
        <f>'Nota de venta'!G147</f>
        <v>#DIV/0!</v>
      </c>
      <c r="I42" s="257">
        <f>IF(ISNUMBER(COTIZACION[[#This Row],[valor unitario]]),COTIZACION[[#This Row],[valor unitario]]*COTIZACION[[#This Row],['#]],0)</f>
        <v>0</v>
      </c>
      <c r="K42" s="322"/>
    </row>
    <row r="43" spans="1:11" ht="50.25" customHeight="1">
      <c r="A43" s="59">
        <v>32</v>
      </c>
      <c r="B43" s="256">
        <f>'Nota de venta'!L41</f>
        <v>0</v>
      </c>
      <c r="C43" s="303">
        <f>'Nota de venta'!G41</f>
        <v>0</v>
      </c>
      <c r="D43" s="385">
        <f>'Nota de venta'!B41</f>
        <v>0</v>
      </c>
      <c r="E43" s="319">
        <f>'Nota de venta'!E41</f>
        <v>0</v>
      </c>
      <c r="F43" s="319">
        <f>'Nota de venta'!F41</f>
        <v>0</v>
      </c>
      <c r="G43" s="319">
        <f>'Nota de venta'!J41</f>
        <v>0</v>
      </c>
      <c r="H43" s="140" t="e">
        <f>'Nota de venta'!G148</f>
        <v>#DIV/0!</v>
      </c>
      <c r="I43" s="257">
        <f>IF(ISNUMBER(COTIZACION[[#This Row],[valor unitario]]),COTIZACION[[#This Row],[valor unitario]]*COTIZACION[[#This Row],['#]],0)</f>
        <v>0</v>
      </c>
      <c r="K43" s="322"/>
    </row>
    <row r="44" spans="1:11" ht="50.25" customHeight="1">
      <c r="A44" s="59">
        <v>33</v>
      </c>
      <c r="B44" s="256">
        <f>'Nota de venta'!L42</f>
        <v>0</v>
      </c>
      <c r="C44" s="303">
        <f>'Nota de venta'!G42</f>
        <v>0</v>
      </c>
      <c r="D44" s="385">
        <f>'Nota de venta'!B42</f>
        <v>0</v>
      </c>
      <c r="E44" s="319">
        <f>'Nota de venta'!E42</f>
        <v>0</v>
      </c>
      <c r="F44" s="319">
        <f>'Nota de venta'!F42</f>
        <v>0</v>
      </c>
      <c r="G44" s="319">
        <f>'Nota de venta'!J42</f>
        <v>0</v>
      </c>
      <c r="H44" s="140" t="e">
        <f>'Nota de venta'!G149</f>
        <v>#DIV/0!</v>
      </c>
      <c r="I44" s="257">
        <f>IF(ISNUMBER(COTIZACION[[#This Row],[valor unitario]]),COTIZACION[[#This Row],[valor unitario]]*COTIZACION[[#This Row],['#]],0)</f>
        <v>0</v>
      </c>
      <c r="K44" s="322"/>
    </row>
    <row r="45" spans="1:11" ht="50.25" customHeight="1">
      <c r="A45" s="59">
        <v>34</v>
      </c>
      <c r="B45" s="256">
        <f>'Nota de venta'!L43</f>
        <v>0</v>
      </c>
      <c r="C45" s="303">
        <f>'Nota de venta'!G43</f>
        <v>0</v>
      </c>
      <c r="D45" s="385">
        <f>'Nota de venta'!B43</f>
        <v>0</v>
      </c>
      <c r="E45" s="319">
        <f>'Nota de venta'!E43</f>
        <v>0</v>
      </c>
      <c r="F45" s="319">
        <f>'Nota de venta'!F43</f>
        <v>0</v>
      </c>
      <c r="G45" s="319">
        <f>'Nota de venta'!J43</f>
        <v>0</v>
      </c>
      <c r="H45" s="140" t="e">
        <f>'Nota de venta'!G150</f>
        <v>#DIV/0!</v>
      </c>
      <c r="I45" s="257">
        <f>IF(ISNUMBER(COTIZACION[[#This Row],[valor unitario]]),COTIZACION[[#This Row],[valor unitario]]*COTIZACION[[#This Row],['#]],0)</f>
        <v>0</v>
      </c>
      <c r="K45" s="322"/>
    </row>
    <row r="46" spans="1:11" ht="50.25" customHeight="1">
      <c r="A46" s="59">
        <v>35</v>
      </c>
      <c r="B46" s="256">
        <f>'Nota de venta'!L44</f>
        <v>0</v>
      </c>
      <c r="C46" s="303">
        <f>'Nota de venta'!G44</f>
        <v>0</v>
      </c>
      <c r="D46" s="385">
        <f>'Nota de venta'!B44</f>
        <v>0</v>
      </c>
      <c r="E46" s="319">
        <f>'Nota de venta'!E44</f>
        <v>0</v>
      </c>
      <c r="F46" s="319">
        <f>'Nota de venta'!F44</f>
        <v>0</v>
      </c>
      <c r="G46" s="319">
        <f>'Nota de venta'!J44</f>
        <v>0</v>
      </c>
      <c r="H46" s="140" t="e">
        <f>'Nota de venta'!G151</f>
        <v>#DIV/0!</v>
      </c>
      <c r="I46" s="257">
        <f>IF(ISNUMBER(COTIZACION[[#This Row],[valor unitario]]),COTIZACION[[#This Row],[valor unitario]]*COTIZACION[[#This Row],['#]],0)</f>
        <v>0</v>
      </c>
      <c r="K46" s="322"/>
    </row>
    <row r="47" spans="1:11" ht="50.25" customHeight="1">
      <c r="A47" s="59">
        <v>36</v>
      </c>
      <c r="B47" s="256">
        <f>'Nota de venta'!L45</f>
        <v>0</v>
      </c>
      <c r="C47" s="303">
        <f>'Nota de venta'!G45</f>
        <v>0</v>
      </c>
      <c r="D47" s="385">
        <f>'Nota de venta'!B45</f>
        <v>0</v>
      </c>
      <c r="E47" s="319">
        <f>'Nota de venta'!E45</f>
        <v>0</v>
      </c>
      <c r="F47" s="319">
        <f>'Nota de venta'!F45</f>
        <v>0</v>
      </c>
      <c r="G47" s="319">
        <f>'Nota de venta'!J45</f>
        <v>0</v>
      </c>
      <c r="H47" s="140" t="e">
        <f>'Nota de venta'!G152</f>
        <v>#DIV/0!</v>
      </c>
      <c r="I47" s="257">
        <f>IF(ISNUMBER(COTIZACION[[#This Row],[valor unitario]]),COTIZACION[[#This Row],[valor unitario]]*COTIZACION[[#This Row],['#]],0)</f>
        <v>0</v>
      </c>
      <c r="K47" s="322"/>
    </row>
    <row r="48" spans="1:11" ht="50.25" customHeight="1">
      <c r="A48" s="59">
        <v>37</v>
      </c>
      <c r="B48" s="256">
        <f>'Nota de venta'!L46</f>
        <v>0</v>
      </c>
      <c r="C48" s="303">
        <f>'Nota de venta'!G46</f>
        <v>0</v>
      </c>
      <c r="D48" s="385">
        <f>'Nota de venta'!B46</f>
        <v>0</v>
      </c>
      <c r="E48" s="319">
        <f>'Nota de venta'!E46</f>
        <v>0</v>
      </c>
      <c r="F48" s="319">
        <f>'Nota de venta'!F46</f>
        <v>0</v>
      </c>
      <c r="G48" s="319">
        <f>'Nota de venta'!J46</f>
        <v>0</v>
      </c>
      <c r="H48" s="140" t="e">
        <f>'Nota de venta'!G153</f>
        <v>#DIV/0!</v>
      </c>
      <c r="I48" s="257">
        <f>IF(ISNUMBER(COTIZACION[[#This Row],[valor unitario]]),COTIZACION[[#This Row],[valor unitario]]*COTIZACION[[#This Row],['#]],0)</f>
        <v>0</v>
      </c>
      <c r="K48" s="322"/>
    </row>
    <row r="49" spans="1:11" ht="50.25" customHeight="1">
      <c r="A49" s="59">
        <v>38</v>
      </c>
      <c r="B49" s="256">
        <f>'Nota de venta'!L47</f>
        <v>0</v>
      </c>
      <c r="C49" s="303">
        <f>'Nota de venta'!G47</f>
        <v>0</v>
      </c>
      <c r="D49" s="385">
        <f>'Nota de venta'!B47</f>
        <v>0</v>
      </c>
      <c r="E49" s="319">
        <f>'Nota de venta'!E47</f>
        <v>0</v>
      </c>
      <c r="F49" s="319">
        <f>'Nota de venta'!F47</f>
        <v>0</v>
      </c>
      <c r="G49" s="319">
        <f>'Nota de venta'!J47</f>
        <v>0</v>
      </c>
      <c r="H49" s="140" t="e">
        <f>'Nota de venta'!G154</f>
        <v>#DIV/0!</v>
      </c>
      <c r="I49" s="257">
        <f>IF(ISNUMBER(COTIZACION[[#This Row],[valor unitario]]),COTIZACION[[#This Row],[valor unitario]]*COTIZACION[[#This Row],['#]],0)</f>
        <v>0</v>
      </c>
      <c r="K49" s="322"/>
    </row>
    <row r="50" spans="1:11" ht="50.25" customHeight="1">
      <c r="A50" s="59">
        <v>39</v>
      </c>
      <c r="B50" s="256">
        <f>'Nota de venta'!L48</f>
        <v>0</v>
      </c>
      <c r="C50" s="303">
        <f>'Nota de venta'!G48</f>
        <v>0</v>
      </c>
      <c r="D50" s="385">
        <f>'Nota de venta'!B48</f>
        <v>0</v>
      </c>
      <c r="E50" s="319">
        <f>'Nota de venta'!E48</f>
        <v>0</v>
      </c>
      <c r="F50" s="319">
        <f>'Nota de venta'!F48</f>
        <v>0</v>
      </c>
      <c r="G50" s="319">
        <f>'Nota de venta'!J48</f>
        <v>0</v>
      </c>
      <c r="H50" s="140" t="e">
        <f>'Nota de venta'!G155</f>
        <v>#DIV/0!</v>
      </c>
      <c r="I50" s="257">
        <f>IF(ISNUMBER(COTIZACION[[#This Row],[valor unitario]]),COTIZACION[[#This Row],[valor unitario]]*COTIZACION[[#This Row],['#]],0)</f>
        <v>0</v>
      </c>
      <c r="K50" s="322"/>
    </row>
    <row r="51" spans="1:11" ht="50.25" customHeight="1">
      <c r="A51" s="59">
        <v>40</v>
      </c>
      <c r="B51" s="256">
        <f>'Nota de venta'!L49</f>
        <v>0</v>
      </c>
      <c r="C51" s="303">
        <f>'Nota de venta'!G49</f>
        <v>0</v>
      </c>
      <c r="D51" s="385">
        <f>'Nota de venta'!B49</f>
        <v>0</v>
      </c>
      <c r="E51" s="319">
        <f>'Nota de venta'!E49</f>
        <v>0</v>
      </c>
      <c r="F51" s="319">
        <f>'Nota de venta'!F49</f>
        <v>0</v>
      </c>
      <c r="G51" s="319">
        <f>'Nota de venta'!J49</f>
        <v>0</v>
      </c>
      <c r="H51" s="140" t="e">
        <f>'Nota de venta'!G156</f>
        <v>#DIV/0!</v>
      </c>
      <c r="I51" s="257">
        <f>IF(ISNUMBER(COTIZACION[[#This Row],[valor unitario]]),COTIZACION[[#This Row],[valor unitario]]*COTIZACION[[#This Row],['#]],0)</f>
        <v>0</v>
      </c>
      <c r="K51" s="322"/>
    </row>
    <row r="52" spans="1:11" ht="50.25" customHeight="1">
      <c r="A52" s="59">
        <v>41</v>
      </c>
      <c r="B52" s="256">
        <f>'Nota de venta'!L50</f>
        <v>0</v>
      </c>
      <c r="C52" s="303">
        <f>'Nota de venta'!G50</f>
        <v>0</v>
      </c>
      <c r="D52" s="385">
        <f>'Nota de venta'!B50</f>
        <v>0</v>
      </c>
      <c r="E52" s="319">
        <f>'Nota de venta'!E50</f>
        <v>0</v>
      </c>
      <c r="F52" s="319">
        <f>'Nota de venta'!F50</f>
        <v>0</v>
      </c>
      <c r="G52" s="319">
        <f>'Nota de venta'!J50</f>
        <v>0</v>
      </c>
      <c r="H52" s="140" t="e">
        <f>'Nota de venta'!G157</f>
        <v>#DIV/0!</v>
      </c>
      <c r="I52" s="257">
        <f>IF(ISNUMBER(COTIZACION[[#This Row],[valor unitario]]),COTIZACION[[#This Row],[valor unitario]]*COTIZACION[[#This Row],['#]],0)</f>
        <v>0</v>
      </c>
      <c r="K52" s="322"/>
    </row>
    <row r="53" spans="1:11" ht="50.25" customHeight="1">
      <c r="A53" s="59">
        <v>42</v>
      </c>
      <c r="B53" s="256">
        <f>'Nota de venta'!L51</f>
        <v>0</v>
      </c>
      <c r="C53" s="303">
        <f>'Nota de venta'!G51</f>
        <v>0</v>
      </c>
      <c r="D53" s="385">
        <f>'Nota de venta'!B51</f>
        <v>0</v>
      </c>
      <c r="E53" s="319">
        <f>'Nota de venta'!E51</f>
        <v>0</v>
      </c>
      <c r="F53" s="319">
        <f>'Nota de venta'!F51</f>
        <v>0</v>
      </c>
      <c r="G53" s="319">
        <f>'Nota de venta'!J51</f>
        <v>0</v>
      </c>
      <c r="H53" s="140" t="e">
        <f>'Nota de venta'!G158</f>
        <v>#DIV/0!</v>
      </c>
      <c r="I53" s="257">
        <f>IF(ISNUMBER(COTIZACION[[#This Row],[valor unitario]]),COTIZACION[[#This Row],[valor unitario]]*COTIZACION[[#This Row],['#]],0)</f>
        <v>0</v>
      </c>
      <c r="K53" s="322"/>
    </row>
    <row r="54" spans="1:11" ht="50.25" customHeight="1">
      <c r="A54" s="59">
        <v>43</v>
      </c>
      <c r="B54" s="256">
        <f>'Nota de venta'!L52</f>
        <v>0</v>
      </c>
      <c r="C54" s="303">
        <f>'Nota de venta'!G52</f>
        <v>0</v>
      </c>
      <c r="D54" s="385">
        <f>'Nota de venta'!B52</f>
        <v>0</v>
      </c>
      <c r="E54" s="319">
        <f>'Nota de venta'!E52</f>
        <v>0</v>
      </c>
      <c r="F54" s="319">
        <f>'Nota de venta'!F52</f>
        <v>0</v>
      </c>
      <c r="G54" s="319">
        <f>'Nota de venta'!J52</f>
        <v>0</v>
      </c>
      <c r="H54" s="140" t="e">
        <f>'Nota de venta'!G159</f>
        <v>#DIV/0!</v>
      </c>
      <c r="I54" s="257">
        <f>IF(ISNUMBER(COTIZACION[[#This Row],[valor unitario]]),COTIZACION[[#This Row],[valor unitario]]*COTIZACION[[#This Row],['#]],0)</f>
        <v>0</v>
      </c>
      <c r="K54" s="322"/>
    </row>
    <row r="55" spans="1:11" ht="50.25" customHeight="1">
      <c r="A55" s="59">
        <v>44</v>
      </c>
      <c r="B55" s="256">
        <f>'Nota de venta'!L53</f>
        <v>0</v>
      </c>
      <c r="C55" s="303">
        <f>'Nota de venta'!G53</f>
        <v>0</v>
      </c>
      <c r="D55" s="385">
        <f>'Nota de venta'!B53</f>
        <v>0</v>
      </c>
      <c r="E55" s="319">
        <f>'Nota de venta'!E53</f>
        <v>0</v>
      </c>
      <c r="F55" s="319">
        <f>'Nota de venta'!F53</f>
        <v>0</v>
      </c>
      <c r="G55" s="319">
        <f>'Nota de venta'!J53</f>
        <v>0</v>
      </c>
      <c r="H55" s="140" t="e">
        <f>'Nota de venta'!G160</f>
        <v>#DIV/0!</v>
      </c>
      <c r="I55" s="257">
        <f>IF(ISNUMBER(COTIZACION[[#This Row],[valor unitario]]),COTIZACION[[#This Row],[valor unitario]]*COTIZACION[[#This Row],['#]],0)</f>
        <v>0</v>
      </c>
      <c r="K55" s="322"/>
    </row>
    <row r="56" spans="1:11" ht="50.25" customHeight="1">
      <c r="A56" s="59">
        <v>45</v>
      </c>
      <c r="B56" s="256">
        <f>'Nota de venta'!L54</f>
        <v>0</v>
      </c>
      <c r="C56" s="303">
        <f>'Nota de venta'!G54</f>
        <v>0</v>
      </c>
      <c r="D56" s="385">
        <f>'Nota de venta'!B54</f>
        <v>0</v>
      </c>
      <c r="E56" s="319">
        <f>'Nota de venta'!E54</f>
        <v>0</v>
      </c>
      <c r="F56" s="319">
        <f>'Nota de venta'!F54</f>
        <v>0</v>
      </c>
      <c r="G56" s="319">
        <f>'Nota de venta'!J54</f>
        <v>0</v>
      </c>
      <c r="H56" s="140" t="e">
        <f>'Nota de venta'!G161</f>
        <v>#DIV/0!</v>
      </c>
      <c r="I56" s="257">
        <f>IF(ISNUMBER(COTIZACION[[#This Row],[valor unitario]]),COTIZACION[[#This Row],[valor unitario]]*COTIZACION[[#This Row],['#]],0)</f>
        <v>0</v>
      </c>
      <c r="K56" s="322"/>
    </row>
    <row r="57" spans="1:11" ht="50.25" customHeight="1">
      <c r="A57" s="59">
        <v>46</v>
      </c>
      <c r="B57" s="256">
        <f>'Nota de venta'!L55</f>
        <v>0</v>
      </c>
      <c r="C57" s="303">
        <f>'Nota de venta'!G55</f>
        <v>0</v>
      </c>
      <c r="D57" s="385">
        <f>'Nota de venta'!B55</f>
        <v>0</v>
      </c>
      <c r="E57" s="319">
        <f>'Nota de venta'!E55</f>
        <v>0</v>
      </c>
      <c r="F57" s="319">
        <f>'Nota de venta'!F55</f>
        <v>0</v>
      </c>
      <c r="G57" s="319">
        <f>'Nota de venta'!J55</f>
        <v>0</v>
      </c>
      <c r="H57" s="140" t="e">
        <f>'Nota de venta'!G162</f>
        <v>#DIV/0!</v>
      </c>
      <c r="I57" s="257">
        <f>IF(ISNUMBER(COTIZACION[[#This Row],[valor unitario]]),COTIZACION[[#This Row],[valor unitario]]*COTIZACION[[#This Row],['#]],0)</f>
        <v>0</v>
      </c>
      <c r="K57" s="322"/>
    </row>
    <row r="58" spans="1:11" ht="50.25" customHeight="1">
      <c r="A58" s="59">
        <v>47</v>
      </c>
      <c r="B58" s="256">
        <f>'Nota de venta'!L56</f>
        <v>0</v>
      </c>
      <c r="C58" s="303">
        <f>'Nota de venta'!G56</f>
        <v>0</v>
      </c>
      <c r="D58" s="385">
        <f>'Nota de venta'!B56</f>
        <v>0</v>
      </c>
      <c r="E58" s="319">
        <f>'Nota de venta'!E56</f>
        <v>0</v>
      </c>
      <c r="F58" s="319">
        <f>'Nota de venta'!F56</f>
        <v>0</v>
      </c>
      <c r="G58" s="319">
        <f>'Nota de venta'!J56</f>
        <v>0</v>
      </c>
      <c r="H58" s="140" t="e">
        <f>'Nota de venta'!G163</f>
        <v>#DIV/0!</v>
      </c>
      <c r="I58" s="257">
        <f>IF(ISNUMBER(COTIZACION[[#This Row],[valor unitario]]),COTIZACION[[#This Row],[valor unitario]]*COTIZACION[[#This Row],['#]],0)</f>
        <v>0</v>
      </c>
      <c r="K58" s="322"/>
    </row>
    <row r="59" spans="1:11" ht="50.25" customHeight="1">
      <c r="A59" s="59">
        <v>48</v>
      </c>
      <c r="B59" s="256">
        <f>'Nota de venta'!L57</f>
        <v>0</v>
      </c>
      <c r="C59" s="303">
        <f>'Nota de venta'!G57</f>
        <v>0</v>
      </c>
      <c r="D59" s="385">
        <f>'Nota de venta'!B57</f>
        <v>0</v>
      </c>
      <c r="E59" s="319">
        <f>'Nota de venta'!E57</f>
        <v>0</v>
      </c>
      <c r="F59" s="319">
        <f>'Nota de venta'!F57</f>
        <v>0</v>
      </c>
      <c r="G59" s="319">
        <f>'Nota de venta'!J57</f>
        <v>0</v>
      </c>
      <c r="H59" s="140" t="e">
        <f>'Nota de venta'!G164</f>
        <v>#DIV/0!</v>
      </c>
      <c r="I59" s="257">
        <f>IF(ISNUMBER(COTIZACION[[#This Row],[valor unitario]]),COTIZACION[[#This Row],[valor unitario]]*COTIZACION[[#This Row],['#]],0)</f>
        <v>0</v>
      </c>
      <c r="K59" s="322"/>
    </row>
    <row r="60" spans="1:11" ht="50.25" customHeight="1">
      <c r="A60" s="59">
        <v>49</v>
      </c>
      <c r="B60" s="256">
        <f>'Nota de venta'!L58</f>
        <v>0</v>
      </c>
      <c r="C60" s="303">
        <f>'Nota de venta'!G58</f>
        <v>0</v>
      </c>
      <c r="D60" s="385">
        <f>'Nota de venta'!B58</f>
        <v>0</v>
      </c>
      <c r="E60" s="319">
        <f>'Nota de venta'!E58</f>
        <v>0</v>
      </c>
      <c r="F60" s="319">
        <f>'Nota de venta'!F58</f>
        <v>0</v>
      </c>
      <c r="G60" s="319">
        <f>'Nota de venta'!J58</f>
        <v>0</v>
      </c>
      <c r="H60" s="140" t="e">
        <f>'Nota de venta'!G165</f>
        <v>#DIV/0!</v>
      </c>
      <c r="I60" s="257">
        <f>IF(ISNUMBER(COTIZACION[[#This Row],[valor unitario]]),COTIZACION[[#This Row],[valor unitario]]*COTIZACION[[#This Row],['#]],0)</f>
        <v>0</v>
      </c>
      <c r="K60" s="322"/>
    </row>
    <row r="61" spans="1:11" ht="50.25" customHeight="1">
      <c r="A61" s="59">
        <v>50</v>
      </c>
      <c r="B61" s="256">
        <f>'Nota de venta'!L59</f>
        <v>0</v>
      </c>
      <c r="C61" s="303">
        <f>'Nota de venta'!G59</f>
        <v>0</v>
      </c>
      <c r="D61" s="385">
        <f>'Nota de venta'!B59</f>
        <v>0</v>
      </c>
      <c r="E61" s="319">
        <f>'Nota de venta'!E59</f>
        <v>0</v>
      </c>
      <c r="F61" s="319">
        <f>'Nota de venta'!F59</f>
        <v>0</v>
      </c>
      <c r="G61" s="319">
        <f>'Nota de venta'!J59</f>
        <v>0</v>
      </c>
      <c r="H61" s="140" t="e">
        <f>'Nota de venta'!G166</f>
        <v>#DIV/0!</v>
      </c>
      <c r="I61" s="257">
        <f>IF(ISNUMBER(COTIZACION[[#This Row],[valor unitario]]),COTIZACION[[#This Row],[valor unitario]]*COTIZACION[[#This Row],['#]],0)</f>
        <v>0</v>
      </c>
      <c r="K61" s="322"/>
    </row>
    <row r="62" spans="1:11" ht="50.25" customHeight="1">
      <c r="A62" s="59">
        <v>51</v>
      </c>
      <c r="B62" s="256">
        <f>'Nota de venta'!L60</f>
        <v>0</v>
      </c>
      <c r="C62" s="303">
        <f>'Nota de venta'!G60</f>
        <v>0</v>
      </c>
      <c r="D62" s="385">
        <f>'Nota de venta'!B60</f>
        <v>0</v>
      </c>
      <c r="E62" s="319">
        <f>'Nota de venta'!E60</f>
        <v>0</v>
      </c>
      <c r="F62" s="319">
        <f>'Nota de venta'!F60</f>
        <v>0</v>
      </c>
      <c r="G62" s="319">
        <f>'Nota de venta'!J60</f>
        <v>0</v>
      </c>
      <c r="H62" s="140" t="e">
        <f>'Nota de venta'!G167</f>
        <v>#DIV/0!</v>
      </c>
      <c r="I62" s="257">
        <f>IF(ISNUMBER(COTIZACION[[#This Row],[valor unitario]]),COTIZACION[[#This Row],[valor unitario]]*COTIZACION[[#This Row],['#]],0)</f>
        <v>0</v>
      </c>
      <c r="K62" s="322"/>
    </row>
    <row r="63" spans="1:11" ht="50.25" customHeight="1">
      <c r="A63" s="59">
        <v>52</v>
      </c>
      <c r="B63" s="256">
        <f>'Nota de venta'!L61</f>
        <v>0</v>
      </c>
      <c r="C63" s="303">
        <f>'Nota de venta'!G61</f>
        <v>0</v>
      </c>
      <c r="D63" s="385">
        <f>'Nota de venta'!B61</f>
        <v>0</v>
      </c>
      <c r="E63" s="319">
        <f>'Nota de venta'!E61</f>
        <v>0</v>
      </c>
      <c r="F63" s="319">
        <f>'Nota de venta'!F61</f>
        <v>0</v>
      </c>
      <c r="G63" s="319">
        <f>'Nota de venta'!J61</f>
        <v>0</v>
      </c>
      <c r="H63" s="140" t="e">
        <f>'Nota de venta'!G168</f>
        <v>#DIV/0!</v>
      </c>
      <c r="I63" s="257">
        <f>IF(ISNUMBER(COTIZACION[[#This Row],[valor unitario]]),COTIZACION[[#This Row],[valor unitario]]*COTIZACION[[#This Row],['#]],0)</f>
        <v>0</v>
      </c>
      <c r="K63" s="322"/>
    </row>
    <row r="64" spans="1:11" ht="50.25" customHeight="1">
      <c r="A64" s="59">
        <v>53</v>
      </c>
      <c r="B64" s="256">
        <f>'Nota de venta'!L62</f>
        <v>0</v>
      </c>
      <c r="C64" s="303">
        <f>'Nota de venta'!G62</f>
        <v>0</v>
      </c>
      <c r="D64" s="385">
        <f>'Nota de venta'!B62</f>
        <v>0</v>
      </c>
      <c r="E64" s="319">
        <f>'Nota de venta'!E62</f>
        <v>0</v>
      </c>
      <c r="F64" s="319">
        <f>'Nota de venta'!F62</f>
        <v>0</v>
      </c>
      <c r="G64" s="319">
        <f>'Nota de venta'!J62</f>
        <v>0</v>
      </c>
      <c r="H64" s="140" t="e">
        <f>'Nota de venta'!G169</f>
        <v>#DIV/0!</v>
      </c>
      <c r="I64" s="257">
        <f>IF(ISNUMBER(COTIZACION[[#This Row],[valor unitario]]),COTIZACION[[#This Row],[valor unitario]]*COTIZACION[[#This Row],['#]],0)</f>
        <v>0</v>
      </c>
      <c r="K64" s="322"/>
    </row>
    <row r="65" spans="1:11" ht="50.25" customHeight="1">
      <c r="A65" s="59">
        <v>54</v>
      </c>
      <c r="B65" s="256">
        <f>'Nota de venta'!L63</f>
        <v>0</v>
      </c>
      <c r="C65" s="303">
        <f>'Nota de venta'!G63</f>
        <v>0</v>
      </c>
      <c r="D65" s="385">
        <f>'Nota de venta'!B63</f>
        <v>0</v>
      </c>
      <c r="E65" s="319">
        <f>'Nota de venta'!E63</f>
        <v>0</v>
      </c>
      <c r="F65" s="319">
        <f>'Nota de venta'!F63</f>
        <v>0</v>
      </c>
      <c r="G65" s="319">
        <f>'Nota de venta'!J63</f>
        <v>0</v>
      </c>
      <c r="H65" s="140" t="e">
        <f>'Nota de venta'!G170</f>
        <v>#DIV/0!</v>
      </c>
      <c r="I65" s="257">
        <f>IF(ISNUMBER(COTIZACION[[#This Row],[valor unitario]]),COTIZACION[[#This Row],[valor unitario]]*COTIZACION[[#This Row],['#]],0)</f>
        <v>0</v>
      </c>
      <c r="K65" s="322"/>
    </row>
    <row r="66" spans="1:11" ht="50.25" customHeight="1">
      <c r="A66" s="59">
        <v>55</v>
      </c>
      <c r="B66" s="256">
        <f>'Nota de venta'!L64</f>
        <v>0</v>
      </c>
      <c r="C66" s="303">
        <f>'Nota de venta'!G64</f>
        <v>0</v>
      </c>
      <c r="D66" s="385">
        <f>'Nota de venta'!B64</f>
        <v>0</v>
      </c>
      <c r="E66" s="319">
        <f>'Nota de venta'!E64</f>
        <v>0</v>
      </c>
      <c r="F66" s="319">
        <f>'Nota de venta'!F64</f>
        <v>0</v>
      </c>
      <c r="G66" s="319">
        <f>'Nota de venta'!J64</f>
        <v>0</v>
      </c>
      <c r="H66" s="140" t="e">
        <f>'Nota de venta'!G171</f>
        <v>#DIV/0!</v>
      </c>
      <c r="I66" s="257">
        <f>IF(ISNUMBER(COTIZACION[[#This Row],[valor unitario]]),COTIZACION[[#This Row],[valor unitario]]*COTIZACION[[#This Row],['#]],0)</f>
        <v>0</v>
      </c>
      <c r="K66" s="322"/>
    </row>
    <row r="67" spans="1:11" ht="50.25" customHeight="1">
      <c r="A67" s="59">
        <v>56</v>
      </c>
      <c r="B67" s="256">
        <f>'Nota de venta'!L65</f>
        <v>0</v>
      </c>
      <c r="C67" s="303">
        <f>'Nota de venta'!G65</f>
        <v>0</v>
      </c>
      <c r="D67" s="385">
        <f>'Nota de venta'!B65</f>
        <v>0</v>
      </c>
      <c r="E67" s="319">
        <f>'Nota de venta'!E65</f>
        <v>0</v>
      </c>
      <c r="F67" s="319">
        <f>'Nota de venta'!F65</f>
        <v>0</v>
      </c>
      <c r="G67" s="319">
        <f>'Nota de venta'!J65</f>
        <v>0</v>
      </c>
      <c r="H67" s="140" t="e">
        <f>'Nota de venta'!G172</f>
        <v>#DIV/0!</v>
      </c>
      <c r="I67" s="257">
        <f>IF(ISNUMBER(COTIZACION[[#This Row],[valor unitario]]),COTIZACION[[#This Row],[valor unitario]]*COTIZACION[[#This Row],['#]],0)</f>
        <v>0</v>
      </c>
      <c r="K67" s="322"/>
    </row>
    <row r="68" spans="1:11" ht="50.25" customHeight="1">
      <c r="A68" s="59">
        <v>57</v>
      </c>
      <c r="B68" s="256">
        <f>'Nota de venta'!L66</f>
        <v>0</v>
      </c>
      <c r="C68" s="303">
        <f>'Nota de venta'!G66</f>
        <v>0</v>
      </c>
      <c r="D68" s="385">
        <f>'Nota de venta'!B66</f>
        <v>0</v>
      </c>
      <c r="E68" s="319">
        <f>'Nota de venta'!E66</f>
        <v>0</v>
      </c>
      <c r="F68" s="319">
        <f>'Nota de venta'!F66</f>
        <v>0</v>
      </c>
      <c r="G68" s="319">
        <f>'Nota de venta'!J66</f>
        <v>0</v>
      </c>
      <c r="H68" s="140" t="e">
        <f>'Nota de venta'!G173</f>
        <v>#DIV/0!</v>
      </c>
      <c r="I68" s="257">
        <f>IF(ISNUMBER(COTIZACION[[#This Row],[valor unitario]]),COTIZACION[[#This Row],[valor unitario]]*COTIZACION[[#This Row],['#]],0)</f>
        <v>0</v>
      </c>
      <c r="K68" s="322"/>
    </row>
    <row r="69" spans="1:11" ht="50.25" customHeight="1">
      <c r="A69" s="59">
        <v>58</v>
      </c>
      <c r="B69" s="256">
        <f>'Nota de venta'!L67</f>
        <v>0</v>
      </c>
      <c r="C69" s="303">
        <f>'Nota de venta'!G67</f>
        <v>0</v>
      </c>
      <c r="D69" s="385">
        <f>'Nota de venta'!B67</f>
        <v>0</v>
      </c>
      <c r="E69" s="319">
        <f>'Nota de venta'!E67</f>
        <v>0</v>
      </c>
      <c r="F69" s="319">
        <f>'Nota de venta'!F67</f>
        <v>0</v>
      </c>
      <c r="G69" s="319">
        <f>'Nota de venta'!J67</f>
        <v>0</v>
      </c>
      <c r="H69" s="140" t="e">
        <f>'Nota de venta'!G174</f>
        <v>#DIV/0!</v>
      </c>
      <c r="I69" s="257">
        <f>IF(ISNUMBER(COTIZACION[[#This Row],[valor unitario]]),COTIZACION[[#This Row],[valor unitario]]*COTIZACION[[#This Row],['#]],0)</f>
        <v>0</v>
      </c>
      <c r="K69" s="322"/>
    </row>
    <row r="70" spans="1:11" ht="50.25" customHeight="1">
      <c r="A70" s="59">
        <v>59</v>
      </c>
      <c r="B70" s="256">
        <f>'Nota de venta'!L68</f>
        <v>0</v>
      </c>
      <c r="C70" s="303">
        <f>'Nota de venta'!G68</f>
        <v>0</v>
      </c>
      <c r="D70" s="385">
        <f>'Nota de venta'!B68</f>
        <v>0</v>
      </c>
      <c r="E70" s="319">
        <f>'Nota de venta'!E68</f>
        <v>0</v>
      </c>
      <c r="F70" s="319">
        <f>'Nota de venta'!F68</f>
        <v>0</v>
      </c>
      <c r="G70" s="319">
        <f>'Nota de venta'!J68</f>
        <v>0</v>
      </c>
      <c r="H70" s="140" t="e">
        <f>'Nota de venta'!G175</f>
        <v>#DIV/0!</v>
      </c>
      <c r="I70" s="257">
        <f>IF(ISNUMBER(COTIZACION[[#This Row],[valor unitario]]),COTIZACION[[#This Row],[valor unitario]]*COTIZACION[[#This Row],['#]],0)</f>
        <v>0</v>
      </c>
      <c r="K70" s="322"/>
    </row>
    <row r="71" spans="1:11" ht="50.25" customHeight="1">
      <c r="A71" s="59">
        <v>60</v>
      </c>
      <c r="B71" s="256">
        <f>'Nota de venta'!L69</f>
        <v>0</v>
      </c>
      <c r="C71" s="303">
        <f>'Nota de venta'!G69</f>
        <v>0</v>
      </c>
      <c r="D71" s="385">
        <f>'Nota de venta'!B69</f>
        <v>0</v>
      </c>
      <c r="E71" s="319">
        <f>'Nota de venta'!E69</f>
        <v>0</v>
      </c>
      <c r="F71" s="319">
        <f>'Nota de venta'!F69</f>
        <v>0</v>
      </c>
      <c r="G71" s="319">
        <f>'Nota de venta'!J69</f>
        <v>0</v>
      </c>
      <c r="H71" s="140" t="e">
        <f>'Nota de venta'!G176</f>
        <v>#DIV/0!</v>
      </c>
      <c r="I71" s="257">
        <f>IF(ISNUMBER(COTIZACION[[#This Row],[valor unitario]]),COTIZACION[[#This Row],[valor unitario]]*COTIZACION[[#This Row],['#]],0)</f>
        <v>0</v>
      </c>
      <c r="K71" s="322"/>
    </row>
    <row r="72" spans="1:11" ht="50.25" customHeight="1">
      <c r="A72" s="59">
        <v>61</v>
      </c>
      <c r="B72" s="256">
        <f>'Nota de venta'!L70</f>
        <v>0</v>
      </c>
      <c r="C72" s="303">
        <f>'Nota de venta'!G70</f>
        <v>0</v>
      </c>
      <c r="D72" s="385">
        <f>'Nota de venta'!B70</f>
        <v>0</v>
      </c>
      <c r="E72" s="319">
        <f>'Nota de venta'!E70</f>
        <v>0</v>
      </c>
      <c r="F72" s="319">
        <f>'Nota de venta'!F70</f>
        <v>0</v>
      </c>
      <c r="G72" s="319">
        <f>'Nota de venta'!J70</f>
        <v>0</v>
      </c>
      <c r="H72" s="140" t="e">
        <f>'Nota de venta'!G177</f>
        <v>#DIV/0!</v>
      </c>
      <c r="I72" s="257">
        <f>IF(ISNUMBER(COTIZACION[[#This Row],[valor unitario]]),COTIZACION[[#This Row],[valor unitario]]*COTIZACION[[#This Row],['#]],0)</f>
        <v>0</v>
      </c>
      <c r="K72" s="322"/>
    </row>
    <row r="73" spans="1:11" ht="50.25" customHeight="1">
      <c r="A73" s="59">
        <v>62</v>
      </c>
      <c r="B73" s="256">
        <f>'Nota de venta'!L71</f>
        <v>0</v>
      </c>
      <c r="C73" s="303">
        <f>'Nota de venta'!G71</f>
        <v>0</v>
      </c>
      <c r="D73" s="385">
        <f>'Nota de venta'!B71</f>
        <v>0</v>
      </c>
      <c r="E73" s="319">
        <f>'Nota de venta'!E71</f>
        <v>0</v>
      </c>
      <c r="F73" s="319">
        <f>'Nota de venta'!F71</f>
        <v>0</v>
      </c>
      <c r="G73" s="319">
        <f>'Nota de venta'!J71</f>
        <v>0</v>
      </c>
      <c r="H73" s="140" t="e">
        <f>'Nota de venta'!G178</f>
        <v>#DIV/0!</v>
      </c>
      <c r="I73" s="257">
        <f>IF(ISNUMBER(COTIZACION[[#This Row],[valor unitario]]),COTIZACION[[#This Row],[valor unitario]]*COTIZACION[[#This Row],['#]],0)</f>
        <v>0</v>
      </c>
      <c r="K73" s="322"/>
    </row>
    <row r="74" spans="1:11" ht="50.25" customHeight="1">
      <c r="A74" s="59">
        <v>63</v>
      </c>
      <c r="B74" s="256">
        <f>'Nota de venta'!L72</f>
        <v>0</v>
      </c>
      <c r="C74" s="303">
        <f>'Nota de venta'!G72</f>
        <v>0</v>
      </c>
      <c r="D74" s="385">
        <f>'Nota de venta'!B72</f>
        <v>0</v>
      </c>
      <c r="E74" s="319">
        <f>'Nota de venta'!E72</f>
        <v>0</v>
      </c>
      <c r="F74" s="319">
        <f>'Nota de venta'!F72</f>
        <v>0</v>
      </c>
      <c r="G74" s="319">
        <f>'Nota de venta'!J72</f>
        <v>0</v>
      </c>
      <c r="H74" s="140" t="e">
        <f>'Nota de venta'!G179</f>
        <v>#DIV/0!</v>
      </c>
      <c r="I74" s="257">
        <f>IF(ISNUMBER(COTIZACION[[#This Row],[valor unitario]]),COTIZACION[[#This Row],[valor unitario]]*COTIZACION[[#This Row],['#]],0)</f>
        <v>0</v>
      </c>
      <c r="K74" s="322"/>
    </row>
    <row r="75" spans="1:11" ht="50.25" customHeight="1">
      <c r="A75" s="59">
        <v>64</v>
      </c>
      <c r="B75" s="256">
        <f>'Nota de venta'!L73</f>
        <v>0</v>
      </c>
      <c r="C75" s="303">
        <f>'Nota de venta'!G73</f>
        <v>0</v>
      </c>
      <c r="D75" s="385">
        <f>'Nota de venta'!B73</f>
        <v>0</v>
      </c>
      <c r="E75" s="319">
        <f>'Nota de venta'!E73</f>
        <v>0</v>
      </c>
      <c r="F75" s="319">
        <f>'Nota de venta'!F73</f>
        <v>0</v>
      </c>
      <c r="G75" s="319">
        <f>'Nota de venta'!J73</f>
        <v>0</v>
      </c>
      <c r="H75" s="140" t="e">
        <f>'Nota de venta'!G180</f>
        <v>#DIV/0!</v>
      </c>
      <c r="I75" s="257">
        <f>IF(ISNUMBER(COTIZACION[[#This Row],[valor unitario]]),COTIZACION[[#This Row],[valor unitario]]*COTIZACION[[#This Row],['#]],0)</f>
        <v>0</v>
      </c>
      <c r="K75" s="322"/>
    </row>
    <row r="76" spans="1:11" ht="50.25" customHeight="1">
      <c r="A76" s="59">
        <v>65</v>
      </c>
      <c r="B76" s="256">
        <f>'Nota de venta'!L74</f>
        <v>0</v>
      </c>
      <c r="C76" s="303">
        <f>'Nota de venta'!G74</f>
        <v>0</v>
      </c>
      <c r="D76" s="385">
        <f>'Nota de venta'!B74</f>
        <v>0</v>
      </c>
      <c r="E76" s="319">
        <f>'Nota de venta'!E74</f>
        <v>0</v>
      </c>
      <c r="F76" s="319">
        <f>'Nota de venta'!F74</f>
        <v>0</v>
      </c>
      <c r="G76" s="319">
        <f>'Nota de venta'!J74</f>
        <v>0</v>
      </c>
      <c r="H76" s="140" t="e">
        <f>'Nota de venta'!G181</f>
        <v>#DIV/0!</v>
      </c>
      <c r="I76" s="257">
        <f>IF(ISNUMBER(COTIZACION[[#This Row],[valor unitario]]),COTIZACION[[#This Row],[valor unitario]]*COTIZACION[[#This Row],['#]],0)</f>
        <v>0</v>
      </c>
      <c r="K76" s="322"/>
    </row>
    <row r="77" spans="1:11" ht="50.25" customHeight="1">
      <c r="A77" s="59">
        <v>66</v>
      </c>
      <c r="B77" s="256">
        <f>'Nota de venta'!L75</f>
        <v>0</v>
      </c>
      <c r="C77" s="303">
        <f>'Nota de venta'!G75</f>
        <v>0</v>
      </c>
      <c r="D77" s="385">
        <f>'Nota de venta'!B75</f>
        <v>0</v>
      </c>
      <c r="E77" s="319">
        <f>'Nota de venta'!E75</f>
        <v>0</v>
      </c>
      <c r="F77" s="319">
        <f>'Nota de venta'!F75</f>
        <v>0</v>
      </c>
      <c r="G77" s="319">
        <f>'Nota de venta'!J75</f>
        <v>0</v>
      </c>
      <c r="H77" s="140" t="e">
        <f>'Nota de venta'!G182</f>
        <v>#DIV/0!</v>
      </c>
      <c r="I77" s="257">
        <f>IF(ISNUMBER(COTIZACION[[#This Row],[valor unitario]]),COTIZACION[[#This Row],[valor unitario]]*COTIZACION[[#This Row],['#]],0)</f>
        <v>0</v>
      </c>
      <c r="K77" s="322"/>
    </row>
    <row r="78" spans="1:11" ht="50.25" customHeight="1">
      <c r="A78" s="59">
        <v>67</v>
      </c>
      <c r="B78" s="256">
        <f>'Nota de venta'!L76</f>
        <v>0</v>
      </c>
      <c r="C78" s="303">
        <f>'Nota de venta'!G76</f>
        <v>0</v>
      </c>
      <c r="D78" s="385">
        <f>'Nota de venta'!B76</f>
        <v>0</v>
      </c>
      <c r="E78" s="319">
        <f>'Nota de venta'!E76</f>
        <v>0</v>
      </c>
      <c r="F78" s="319">
        <f>'Nota de venta'!F76</f>
        <v>0</v>
      </c>
      <c r="G78" s="319">
        <f>'Nota de venta'!J76</f>
        <v>0</v>
      </c>
      <c r="H78" s="140" t="e">
        <f>'Nota de venta'!G183</f>
        <v>#DIV/0!</v>
      </c>
      <c r="I78" s="257">
        <f>IF(ISNUMBER(COTIZACION[[#This Row],[valor unitario]]),COTIZACION[[#This Row],[valor unitario]]*COTIZACION[[#This Row],['#]],0)</f>
        <v>0</v>
      </c>
      <c r="K78" s="322"/>
    </row>
    <row r="79" spans="1:11" ht="50.25" customHeight="1">
      <c r="A79" s="59">
        <v>68</v>
      </c>
      <c r="B79" s="256">
        <f>'Nota de venta'!L77</f>
        <v>0</v>
      </c>
      <c r="C79" s="303">
        <f>'Nota de venta'!G77</f>
        <v>0</v>
      </c>
      <c r="D79" s="385">
        <f>'Nota de venta'!B77</f>
        <v>0</v>
      </c>
      <c r="E79" s="319">
        <f>'Nota de venta'!E77</f>
        <v>0</v>
      </c>
      <c r="F79" s="319">
        <f>'Nota de venta'!F77</f>
        <v>0</v>
      </c>
      <c r="G79" s="319">
        <f>'Nota de venta'!J77</f>
        <v>0</v>
      </c>
      <c r="H79" s="140" t="e">
        <f>'Nota de venta'!G184</f>
        <v>#DIV/0!</v>
      </c>
      <c r="I79" s="257">
        <f>IF(ISNUMBER(COTIZACION[[#This Row],[valor unitario]]),COTIZACION[[#This Row],[valor unitario]]*COTIZACION[[#This Row],['#]],0)</f>
        <v>0</v>
      </c>
      <c r="K79" s="322"/>
    </row>
    <row r="80" spans="1:11" ht="50.25" customHeight="1">
      <c r="A80" s="59">
        <v>69</v>
      </c>
      <c r="B80" s="256">
        <f>'Nota de venta'!L78</f>
        <v>0</v>
      </c>
      <c r="C80" s="303">
        <f>'Nota de venta'!G78</f>
        <v>0</v>
      </c>
      <c r="D80" s="385">
        <f>'Nota de venta'!B78</f>
        <v>0</v>
      </c>
      <c r="E80" s="319">
        <f>'Nota de venta'!E78</f>
        <v>0</v>
      </c>
      <c r="F80" s="319">
        <f>'Nota de venta'!F78</f>
        <v>0</v>
      </c>
      <c r="G80" s="319">
        <f>'Nota de venta'!J78</f>
        <v>0</v>
      </c>
      <c r="H80" s="140" t="e">
        <f>'Nota de venta'!G185</f>
        <v>#DIV/0!</v>
      </c>
      <c r="I80" s="257">
        <f>IF(ISNUMBER(COTIZACION[[#This Row],[valor unitario]]),COTIZACION[[#This Row],[valor unitario]]*COTIZACION[[#This Row],['#]],0)</f>
        <v>0</v>
      </c>
      <c r="K80" s="322"/>
    </row>
    <row r="81" spans="1:11" ht="50.25" customHeight="1">
      <c r="A81" s="59">
        <v>70</v>
      </c>
      <c r="B81" s="256">
        <f>'Nota de venta'!L79</f>
        <v>0</v>
      </c>
      <c r="C81" s="303">
        <f>'Nota de venta'!G79</f>
        <v>0</v>
      </c>
      <c r="D81" s="385">
        <f>'Nota de venta'!B79</f>
        <v>0</v>
      </c>
      <c r="E81" s="319">
        <f>'Nota de venta'!E79</f>
        <v>0</v>
      </c>
      <c r="F81" s="319">
        <f>'Nota de venta'!F79</f>
        <v>0</v>
      </c>
      <c r="G81" s="319">
        <f>'Nota de venta'!J79</f>
        <v>0</v>
      </c>
      <c r="H81" s="140" t="e">
        <f>'Nota de venta'!G186</f>
        <v>#DIV/0!</v>
      </c>
      <c r="I81" s="257">
        <f>IF(ISNUMBER(COTIZACION[[#This Row],[valor unitario]]),COTIZACION[[#This Row],[valor unitario]]*COTIZACION[[#This Row],['#]],0)</f>
        <v>0</v>
      </c>
      <c r="K81" s="322"/>
    </row>
    <row r="82" spans="1:11" ht="50.25" customHeight="1">
      <c r="A82" s="59">
        <v>71</v>
      </c>
      <c r="B82" s="256">
        <f>'Nota de venta'!L80</f>
        <v>0</v>
      </c>
      <c r="C82" s="303">
        <f>'Nota de venta'!G80</f>
        <v>0</v>
      </c>
      <c r="D82" s="385">
        <f>'Nota de venta'!B80</f>
        <v>0</v>
      </c>
      <c r="E82" s="319">
        <f>'Nota de venta'!E80</f>
        <v>0</v>
      </c>
      <c r="F82" s="319">
        <f>'Nota de venta'!F80</f>
        <v>0</v>
      </c>
      <c r="G82" s="319">
        <f>'Nota de venta'!J80</f>
        <v>0</v>
      </c>
      <c r="H82" s="140" t="e">
        <f>'Nota de venta'!G187</f>
        <v>#DIV/0!</v>
      </c>
      <c r="I82" s="257">
        <f>IF(ISNUMBER(COTIZACION[[#This Row],[valor unitario]]),COTIZACION[[#This Row],[valor unitario]]*COTIZACION[[#This Row],['#]],0)</f>
        <v>0</v>
      </c>
      <c r="K82" s="322"/>
    </row>
    <row r="83" spans="1:11" ht="50.25" customHeight="1">
      <c r="A83" s="59">
        <v>72</v>
      </c>
      <c r="B83" s="256">
        <f>'Nota de venta'!L81</f>
        <v>0</v>
      </c>
      <c r="C83" s="303">
        <f>'Nota de venta'!G81</f>
        <v>0</v>
      </c>
      <c r="D83" s="385">
        <f>'Nota de venta'!B81</f>
        <v>0</v>
      </c>
      <c r="E83" s="319">
        <f>'Nota de venta'!E81</f>
        <v>0</v>
      </c>
      <c r="F83" s="319">
        <f>'Nota de venta'!F81</f>
        <v>0</v>
      </c>
      <c r="G83" s="319">
        <f>'Nota de venta'!J81</f>
        <v>0</v>
      </c>
      <c r="H83" s="140" t="e">
        <f>'Nota de venta'!G188</f>
        <v>#DIV/0!</v>
      </c>
      <c r="I83" s="257">
        <f>IF(ISNUMBER(COTIZACION[[#This Row],[valor unitario]]),COTIZACION[[#This Row],[valor unitario]]*COTIZACION[[#This Row],['#]],0)</f>
        <v>0</v>
      </c>
      <c r="K83" s="322"/>
    </row>
    <row r="84" spans="1:11" ht="50.25" customHeight="1">
      <c r="A84" s="59">
        <v>73</v>
      </c>
      <c r="B84" s="256">
        <f>'Nota de venta'!L82</f>
        <v>0</v>
      </c>
      <c r="C84" s="303">
        <f>'Nota de venta'!G82</f>
        <v>0</v>
      </c>
      <c r="D84" s="385">
        <f>'Nota de venta'!B82</f>
        <v>0</v>
      </c>
      <c r="E84" s="319">
        <f>'Nota de venta'!E82</f>
        <v>0</v>
      </c>
      <c r="F84" s="319">
        <f>'Nota de venta'!F82</f>
        <v>0</v>
      </c>
      <c r="G84" s="319">
        <f>'Nota de venta'!J82</f>
        <v>0</v>
      </c>
      <c r="H84" s="140" t="e">
        <f>'Nota de venta'!G189</f>
        <v>#DIV/0!</v>
      </c>
      <c r="I84" s="257">
        <f>IF(ISNUMBER(COTIZACION[[#This Row],[valor unitario]]),COTIZACION[[#This Row],[valor unitario]]*COTIZACION[[#This Row],['#]],0)</f>
        <v>0</v>
      </c>
      <c r="K84" s="322"/>
    </row>
    <row r="85" spans="1:11" ht="50.25" customHeight="1">
      <c r="A85" s="59">
        <v>74</v>
      </c>
      <c r="B85" s="256">
        <f>'Nota de venta'!L83</f>
        <v>0</v>
      </c>
      <c r="C85" s="303">
        <f>'Nota de venta'!G83</f>
        <v>0</v>
      </c>
      <c r="D85" s="385">
        <f>'Nota de venta'!B83</f>
        <v>0</v>
      </c>
      <c r="E85" s="319">
        <f>'Nota de venta'!E83</f>
        <v>0</v>
      </c>
      <c r="F85" s="319">
        <f>'Nota de venta'!F83</f>
        <v>0</v>
      </c>
      <c r="G85" s="319">
        <f>'Nota de venta'!J83</f>
        <v>0</v>
      </c>
      <c r="H85" s="140" t="e">
        <f>'Nota de venta'!G190</f>
        <v>#DIV/0!</v>
      </c>
      <c r="I85" s="257">
        <f>IF(ISNUMBER(COTIZACION[[#This Row],[valor unitario]]),COTIZACION[[#This Row],[valor unitario]]*COTIZACION[[#This Row],['#]],0)</f>
        <v>0</v>
      </c>
      <c r="K85" s="322"/>
    </row>
    <row r="86" spans="1:11" ht="50.25" customHeight="1">
      <c r="A86" s="59">
        <v>75</v>
      </c>
      <c r="B86" s="256">
        <f>'Nota de venta'!L84</f>
        <v>0</v>
      </c>
      <c r="C86" s="303">
        <f>'Nota de venta'!G84</f>
        <v>0</v>
      </c>
      <c r="D86" s="385">
        <f>'Nota de venta'!B84</f>
        <v>0</v>
      </c>
      <c r="E86" s="319">
        <f>'Nota de venta'!E84</f>
        <v>0</v>
      </c>
      <c r="F86" s="319">
        <f>'Nota de venta'!F84</f>
        <v>0</v>
      </c>
      <c r="G86" s="319">
        <f>'Nota de venta'!J84</f>
        <v>0</v>
      </c>
      <c r="H86" s="140" t="e">
        <f>'Nota de venta'!G191</f>
        <v>#DIV/0!</v>
      </c>
      <c r="I86" s="257">
        <f>IF(ISNUMBER(COTIZACION[[#This Row],[valor unitario]]),COTIZACION[[#This Row],[valor unitario]]*COTIZACION[[#This Row],['#]],0)</f>
        <v>0</v>
      </c>
      <c r="K86" s="322"/>
    </row>
    <row r="87" spans="1:11" ht="50.25" customHeight="1">
      <c r="A87" s="59">
        <v>76</v>
      </c>
      <c r="B87" s="256">
        <f>'Nota de venta'!L85</f>
        <v>0</v>
      </c>
      <c r="C87" s="303">
        <f>'Nota de venta'!G85</f>
        <v>0</v>
      </c>
      <c r="D87" s="385">
        <f>'Nota de venta'!B85</f>
        <v>0</v>
      </c>
      <c r="E87" s="319">
        <f>'Nota de venta'!E85</f>
        <v>0</v>
      </c>
      <c r="F87" s="319">
        <f>'Nota de venta'!F85</f>
        <v>0</v>
      </c>
      <c r="G87" s="319">
        <f>'Nota de venta'!J85</f>
        <v>0</v>
      </c>
      <c r="H87" s="140" t="e">
        <f>'Nota de venta'!G192</f>
        <v>#DIV/0!</v>
      </c>
      <c r="I87" s="257">
        <f>IF(ISNUMBER(COTIZACION[[#This Row],[valor unitario]]),COTIZACION[[#This Row],[valor unitario]]*COTIZACION[[#This Row],['#]],0)</f>
        <v>0</v>
      </c>
      <c r="K87" s="322"/>
    </row>
    <row r="88" spans="1:11" ht="50.25" customHeight="1">
      <c r="A88" s="59">
        <v>77</v>
      </c>
      <c r="B88" s="256">
        <f>'Nota de venta'!L86</f>
        <v>0</v>
      </c>
      <c r="C88" s="303">
        <f>'Nota de venta'!G86</f>
        <v>0</v>
      </c>
      <c r="D88" s="385">
        <f>'Nota de venta'!B86</f>
        <v>0</v>
      </c>
      <c r="E88" s="319">
        <f>'Nota de venta'!E86</f>
        <v>0</v>
      </c>
      <c r="F88" s="319">
        <f>'Nota de venta'!F86</f>
        <v>0</v>
      </c>
      <c r="G88" s="319">
        <f>'Nota de venta'!J86</f>
        <v>0</v>
      </c>
      <c r="H88" s="140" t="e">
        <f>'Nota de venta'!G193</f>
        <v>#DIV/0!</v>
      </c>
      <c r="I88" s="257">
        <f>IF(ISNUMBER(COTIZACION[[#This Row],[valor unitario]]),COTIZACION[[#This Row],[valor unitario]]*COTIZACION[[#This Row],['#]],0)</f>
        <v>0</v>
      </c>
      <c r="K88" s="322"/>
    </row>
    <row r="89" spans="1:11" ht="50.25" customHeight="1">
      <c r="A89" s="59">
        <v>78</v>
      </c>
      <c r="B89" s="256">
        <f>'Nota de venta'!L87</f>
        <v>0</v>
      </c>
      <c r="C89" s="303">
        <f>'Nota de venta'!G87</f>
        <v>0</v>
      </c>
      <c r="D89" s="385">
        <f>'Nota de venta'!B87</f>
        <v>0</v>
      </c>
      <c r="E89" s="319">
        <f>'Nota de venta'!E87</f>
        <v>0</v>
      </c>
      <c r="F89" s="319">
        <f>'Nota de venta'!F87</f>
        <v>0</v>
      </c>
      <c r="G89" s="319">
        <f>'Nota de venta'!J87</f>
        <v>0</v>
      </c>
      <c r="H89" s="140" t="e">
        <f>'Nota de venta'!G194</f>
        <v>#DIV/0!</v>
      </c>
      <c r="I89" s="257">
        <f>IF(ISNUMBER(COTIZACION[[#This Row],[valor unitario]]),COTIZACION[[#This Row],[valor unitario]]*COTIZACION[[#This Row],['#]],0)</f>
        <v>0</v>
      </c>
      <c r="K89" s="322"/>
    </row>
    <row r="90" spans="1:11" ht="50.25" customHeight="1">
      <c r="A90" s="59">
        <v>79</v>
      </c>
      <c r="B90" s="256">
        <f>'Nota de venta'!L88</f>
        <v>0</v>
      </c>
      <c r="C90" s="303">
        <f>'Nota de venta'!G88</f>
        <v>0</v>
      </c>
      <c r="D90" s="385">
        <f>'Nota de venta'!B88</f>
        <v>0</v>
      </c>
      <c r="E90" s="319">
        <f>'Nota de venta'!E88</f>
        <v>0</v>
      </c>
      <c r="F90" s="319">
        <f>'Nota de venta'!F88</f>
        <v>0</v>
      </c>
      <c r="G90" s="319">
        <f>'Nota de venta'!J88</f>
        <v>0</v>
      </c>
      <c r="H90" s="140" t="e">
        <f>'Nota de venta'!G195</f>
        <v>#DIV/0!</v>
      </c>
      <c r="I90" s="257">
        <f>IF(ISNUMBER(COTIZACION[[#This Row],[valor unitario]]),COTIZACION[[#This Row],[valor unitario]]*COTIZACION[[#This Row],['#]],0)</f>
        <v>0</v>
      </c>
      <c r="K90" s="322"/>
    </row>
    <row r="91" spans="1:11" ht="50.25" customHeight="1">
      <c r="A91" s="59">
        <v>80</v>
      </c>
      <c r="B91" s="256">
        <f>'Nota de venta'!L89</f>
        <v>0</v>
      </c>
      <c r="C91" s="303">
        <f>'Nota de venta'!G89</f>
        <v>0</v>
      </c>
      <c r="D91" s="385">
        <f>'Nota de venta'!B89</f>
        <v>0</v>
      </c>
      <c r="E91" s="319">
        <f>'Nota de venta'!E89</f>
        <v>0</v>
      </c>
      <c r="F91" s="319">
        <f>'Nota de venta'!F89</f>
        <v>0</v>
      </c>
      <c r="G91" s="319">
        <f>'Nota de venta'!J89</f>
        <v>0</v>
      </c>
      <c r="H91" s="140" t="e">
        <f>'Nota de venta'!G196</f>
        <v>#DIV/0!</v>
      </c>
      <c r="I91" s="257">
        <f>IF(ISNUMBER(COTIZACION[[#This Row],[valor unitario]]),COTIZACION[[#This Row],[valor unitario]]*COTIZACION[[#This Row],['#]],0)</f>
        <v>0</v>
      </c>
      <c r="K91" s="322"/>
    </row>
    <row r="92" spans="1:11" ht="50.25" customHeight="1">
      <c r="A92" s="59">
        <v>81</v>
      </c>
      <c r="B92" s="256">
        <f>'Nota de venta'!L90</f>
        <v>0</v>
      </c>
      <c r="C92" s="303">
        <f>'Nota de venta'!G90</f>
        <v>0</v>
      </c>
      <c r="D92" s="385">
        <f>'Nota de venta'!B90</f>
        <v>0</v>
      </c>
      <c r="E92" s="319">
        <f>'Nota de venta'!E90</f>
        <v>0</v>
      </c>
      <c r="F92" s="319">
        <f>'Nota de venta'!F90</f>
        <v>0</v>
      </c>
      <c r="G92" s="319">
        <f>'Nota de venta'!J90</f>
        <v>0</v>
      </c>
      <c r="H92" s="140" t="e">
        <f>'Nota de venta'!G197</f>
        <v>#DIV/0!</v>
      </c>
      <c r="I92" s="257">
        <f>IF(ISNUMBER(COTIZACION[[#This Row],[valor unitario]]),COTIZACION[[#This Row],[valor unitario]]*COTIZACION[[#This Row],['#]],0)</f>
        <v>0</v>
      </c>
      <c r="K92" s="322"/>
    </row>
    <row r="93" spans="1:11" ht="50.25" customHeight="1">
      <c r="A93" s="59">
        <v>82</v>
      </c>
      <c r="B93" s="256">
        <f>'Nota de venta'!L91</f>
        <v>0</v>
      </c>
      <c r="C93" s="303">
        <f>'Nota de venta'!G91</f>
        <v>0</v>
      </c>
      <c r="D93" s="385">
        <f>'Nota de venta'!B91</f>
        <v>0</v>
      </c>
      <c r="E93" s="319">
        <f>'Nota de venta'!E91</f>
        <v>0</v>
      </c>
      <c r="F93" s="319">
        <f>'Nota de venta'!F91</f>
        <v>0</v>
      </c>
      <c r="G93" s="319">
        <f>'Nota de venta'!J91</f>
        <v>0</v>
      </c>
      <c r="H93" s="140" t="e">
        <f>'Nota de venta'!G198</f>
        <v>#DIV/0!</v>
      </c>
      <c r="I93" s="257">
        <f>IF(ISNUMBER(COTIZACION[[#This Row],[valor unitario]]),COTIZACION[[#This Row],[valor unitario]]*COTIZACION[[#This Row],['#]],0)</f>
        <v>0</v>
      </c>
      <c r="K93" s="322"/>
    </row>
    <row r="94" spans="1:11" ht="50.25" customHeight="1">
      <c r="A94" s="59">
        <v>83</v>
      </c>
      <c r="B94" s="256">
        <f>'Nota de venta'!L92</f>
        <v>0</v>
      </c>
      <c r="C94" s="303">
        <f>'Nota de venta'!G92</f>
        <v>0</v>
      </c>
      <c r="D94" s="385">
        <f>'Nota de venta'!B92</f>
        <v>0</v>
      </c>
      <c r="E94" s="319">
        <f>'Nota de venta'!E92</f>
        <v>0</v>
      </c>
      <c r="F94" s="319">
        <f>'Nota de venta'!F92</f>
        <v>0</v>
      </c>
      <c r="G94" s="319">
        <f>'Nota de venta'!J92</f>
        <v>0</v>
      </c>
      <c r="H94" s="140" t="e">
        <f>'Nota de venta'!G199</f>
        <v>#DIV/0!</v>
      </c>
      <c r="I94" s="257">
        <f>IF(ISNUMBER(COTIZACION[[#This Row],[valor unitario]]),COTIZACION[[#This Row],[valor unitario]]*COTIZACION[[#This Row],['#]],0)</f>
        <v>0</v>
      </c>
      <c r="K94" s="322"/>
    </row>
    <row r="95" spans="1:11" ht="50.25" customHeight="1">
      <c r="A95" s="59">
        <v>84</v>
      </c>
      <c r="B95" s="256">
        <f>'Nota de venta'!L93</f>
        <v>0</v>
      </c>
      <c r="C95" s="303">
        <f>'Nota de venta'!G93</f>
        <v>0</v>
      </c>
      <c r="D95" s="385">
        <f>'Nota de venta'!B93</f>
        <v>0</v>
      </c>
      <c r="E95" s="319">
        <f>'Nota de venta'!E93</f>
        <v>0</v>
      </c>
      <c r="F95" s="319">
        <f>'Nota de venta'!F93</f>
        <v>0</v>
      </c>
      <c r="G95" s="319">
        <f>'Nota de venta'!J93</f>
        <v>0</v>
      </c>
      <c r="H95" s="140" t="e">
        <f>'Nota de venta'!G200</f>
        <v>#DIV/0!</v>
      </c>
      <c r="I95" s="257">
        <f>IF(ISNUMBER(COTIZACION[[#This Row],[valor unitario]]),COTIZACION[[#This Row],[valor unitario]]*COTIZACION[[#This Row],['#]],0)</f>
        <v>0</v>
      </c>
      <c r="K95" s="322"/>
    </row>
    <row r="96" spans="1:11" ht="50.25" customHeight="1">
      <c r="A96" s="59">
        <v>85</v>
      </c>
      <c r="B96" s="256">
        <f>'Nota de venta'!L94</f>
        <v>0</v>
      </c>
      <c r="C96" s="303">
        <f>'Nota de venta'!G94</f>
        <v>0</v>
      </c>
      <c r="D96" s="385">
        <f>'Nota de venta'!B94</f>
        <v>0</v>
      </c>
      <c r="E96" s="319">
        <f>'Nota de venta'!E94</f>
        <v>0</v>
      </c>
      <c r="F96" s="319">
        <f>'Nota de venta'!F94</f>
        <v>0</v>
      </c>
      <c r="G96" s="319">
        <f>'Nota de venta'!J94</f>
        <v>0</v>
      </c>
      <c r="H96" s="140" t="e">
        <f>'Nota de venta'!G201</f>
        <v>#DIV/0!</v>
      </c>
      <c r="I96" s="257">
        <f>IF(ISNUMBER(COTIZACION[[#This Row],[valor unitario]]),COTIZACION[[#This Row],[valor unitario]]*COTIZACION[[#This Row],['#]],0)</f>
        <v>0</v>
      </c>
      <c r="K96" s="322"/>
    </row>
    <row r="97" spans="1:11" ht="50.25" customHeight="1">
      <c r="A97" s="59">
        <v>86</v>
      </c>
      <c r="B97" s="256">
        <f>'Nota de venta'!L95</f>
        <v>0</v>
      </c>
      <c r="C97" s="303">
        <f>'Nota de venta'!G95</f>
        <v>0</v>
      </c>
      <c r="D97" s="385">
        <f>'Nota de venta'!B95</f>
        <v>0</v>
      </c>
      <c r="E97" s="319">
        <f>'Nota de venta'!E95</f>
        <v>0</v>
      </c>
      <c r="F97" s="319">
        <f>'Nota de venta'!F95</f>
        <v>0</v>
      </c>
      <c r="G97" s="319">
        <f>'Nota de venta'!J95</f>
        <v>0</v>
      </c>
      <c r="H97" s="140" t="e">
        <f>'Nota de venta'!G202</f>
        <v>#DIV/0!</v>
      </c>
      <c r="I97" s="257">
        <f>IF(ISNUMBER(COTIZACION[[#This Row],[valor unitario]]),COTIZACION[[#This Row],[valor unitario]]*COTIZACION[[#This Row],['#]],0)</f>
        <v>0</v>
      </c>
      <c r="K97" s="322"/>
    </row>
    <row r="98" spans="1:11" ht="50.25" customHeight="1">
      <c r="A98" s="59">
        <v>87</v>
      </c>
      <c r="B98" s="256">
        <f>'Nota de venta'!L96</f>
        <v>0</v>
      </c>
      <c r="C98" s="303">
        <f>'Nota de venta'!G96</f>
        <v>0</v>
      </c>
      <c r="D98" s="385">
        <f>'Nota de venta'!B96</f>
        <v>0</v>
      </c>
      <c r="E98" s="319">
        <f>'Nota de venta'!E96</f>
        <v>0</v>
      </c>
      <c r="F98" s="319">
        <f>'Nota de venta'!F96</f>
        <v>0</v>
      </c>
      <c r="G98" s="319">
        <f>'Nota de venta'!J96</f>
        <v>0</v>
      </c>
      <c r="H98" s="140" t="e">
        <f>'Nota de venta'!G203</f>
        <v>#DIV/0!</v>
      </c>
      <c r="I98" s="257">
        <f>IF(ISNUMBER(COTIZACION[[#This Row],[valor unitario]]),COTIZACION[[#This Row],[valor unitario]]*COTIZACION[[#This Row],['#]],0)</f>
        <v>0</v>
      </c>
      <c r="K98" s="322"/>
    </row>
    <row r="99" spans="1:11" ht="50.25" customHeight="1">
      <c r="A99" s="59">
        <v>88</v>
      </c>
      <c r="B99" s="256">
        <f>'Nota de venta'!L97</f>
        <v>0</v>
      </c>
      <c r="C99" s="303">
        <f>'Nota de venta'!G97</f>
        <v>0</v>
      </c>
      <c r="D99" s="385">
        <f>'Nota de venta'!B97</f>
        <v>0</v>
      </c>
      <c r="E99" s="319">
        <f>'Nota de venta'!E97</f>
        <v>0</v>
      </c>
      <c r="F99" s="319">
        <f>'Nota de venta'!F97</f>
        <v>0</v>
      </c>
      <c r="G99" s="319">
        <f>'Nota de venta'!J97</f>
        <v>0</v>
      </c>
      <c r="H99" s="140" t="e">
        <f>'Nota de venta'!G204</f>
        <v>#DIV/0!</v>
      </c>
      <c r="I99" s="257">
        <f>IF(ISNUMBER(COTIZACION[[#This Row],[valor unitario]]),COTIZACION[[#This Row],[valor unitario]]*COTIZACION[[#This Row],['#]],0)</f>
        <v>0</v>
      </c>
      <c r="K99" s="322"/>
    </row>
    <row r="100" spans="1:11" ht="50.25" customHeight="1">
      <c r="A100" s="59">
        <v>89</v>
      </c>
      <c r="B100" s="256">
        <f>'Nota de venta'!L98</f>
        <v>0</v>
      </c>
      <c r="C100" s="303">
        <f>'Nota de venta'!G98</f>
        <v>0</v>
      </c>
      <c r="D100" s="385">
        <f>'Nota de venta'!B98</f>
        <v>0</v>
      </c>
      <c r="E100" s="319">
        <f>'Nota de venta'!E98</f>
        <v>0</v>
      </c>
      <c r="F100" s="319">
        <f>'Nota de venta'!F98</f>
        <v>0</v>
      </c>
      <c r="G100" s="319">
        <f>'Nota de venta'!J98</f>
        <v>0</v>
      </c>
      <c r="H100" s="140" t="e">
        <f>'Nota de venta'!G205</f>
        <v>#DIV/0!</v>
      </c>
      <c r="I100" s="257">
        <f>IF(ISNUMBER(COTIZACION[[#This Row],[valor unitario]]),COTIZACION[[#This Row],[valor unitario]]*COTIZACION[[#This Row],['#]],0)</f>
        <v>0</v>
      </c>
      <c r="K100" s="322"/>
    </row>
    <row r="101" spans="1:11" ht="50.25" customHeight="1">
      <c r="A101" s="59">
        <v>90</v>
      </c>
      <c r="B101" s="256">
        <f>'Nota de venta'!L99</f>
        <v>0</v>
      </c>
      <c r="C101" s="303">
        <f>'Nota de venta'!G99</f>
        <v>0</v>
      </c>
      <c r="D101" s="385">
        <f>'Nota de venta'!B99</f>
        <v>0</v>
      </c>
      <c r="E101" s="319">
        <f>'Nota de venta'!E99</f>
        <v>0</v>
      </c>
      <c r="F101" s="319">
        <f>'Nota de venta'!F99</f>
        <v>0</v>
      </c>
      <c r="G101" s="319">
        <f>'Nota de venta'!J99</f>
        <v>0</v>
      </c>
      <c r="H101" s="140" t="e">
        <f>'Nota de venta'!G206</f>
        <v>#DIV/0!</v>
      </c>
      <c r="I101" s="257">
        <f>IF(ISNUMBER(COTIZACION[[#This Row],[valor unitario]]),COTIZACION[[#This Row],[valor unitario]]*COTIZACION[[#This Row],['#]],0)</f>
        <v>0</v>
      </c>
      <c r="K101" s="322"/>
    </row>
    <row r="102" spans="1:11" ht="50.25" customHeight="1">
      <c r="A102" s="59">
        <v>91</v>
      </c>
      <c r="B102" s="256">
        <f>'Nota de venta'!L100</f>
        <v>0</v>
      </c>
      <c r="C102" s="303">
        <f>'Nota de venta'!G100</f>
        <v>0</v>
      </c>
      <c r="D102" s="385">
        <f>'Nota de venta'!B100</f>
        <v>0</v>
      </c>
      <c r="E102" s="319">
        <f>'Nota de venta'!E100</f>
        <v>0</v>
      </c>
      <c r="F102" s="319">
        <f>'Nota de venta'!F100</f>
        <v>0</v>
      </c>
      <c r="G102" s="319">
        <f>'Nota de venta'!J100</f>
        <v>0</v>
      </c>
      <c r="H102" s="140" t="e">
        <f>'Nota de venta'!G207</f>
        <v>#DIV/0!</v>
      </c>
      <c r="I102" s="257">
        <f>IF(ISNUMBER(COTIZACION[[#This Row],[valor unitario]]),COTIZACION[[#This Row],[valor unitario]]*COTIZACION[[#This Row],['#]],0)</f>
        <v>0</v>
      </c>
      <c r="K102" s="322"/>
    </row>
    <row r="103" spans="1:11" ht="50.25" customHeight="1">
      <c r="A103" s="59">
        <v>92</v>
      </c>
      <c r="B103" s="256">
        <f>'Nota de venta'!L101</f>
        <v>0</v>
      </c>
      <c r="C103" s="303">
        <f>'Nota de venta'!G101</f>
        <v>0</v>
      </c>
      <c r="D103" s="385">
        <f>'Nota de venta'!B101</f>
        <v>0</v>
      </c>
      <c r="E103" s="319">
        <f>'Nota de venta'!E101</f>
        <v>0</v>
      </c>
      <c r="F103" s="319">
        <f>'Nota de venta'!F101</f>
        <v>0</v>
      </c>
      <c r="G103" s="319">
        <f>'Nota de venta'!J101</f>
        <v>0</v>
      </c>
      <c r="H103" s="140" t="e">
        <f>'Nota de venta'!G208</f>
        <v>#DIV/0!</v>
      </c>
      <c r="I103" s="257">
        <f>IF(ISNUMBER(COTIZACION[[#This Row],[valor unitario]]),COTIZACION[[#This Row],[valor unitario]]*COTIZACION[[#This Row],['#]],0)</f>
        <v>0</v>
      </c>
      <c r="K103" s="322"/>
    </row>
    <row r="104" spans="1:11" ht="50.25" customHeight="1">
      <c r="A104" s="59">
        <v>93</v>
      </c>
      <c r="B104" s="256">
        <f>'Nota de venta'!L102</f>
        <v>0</v>
      </c>
      <c r="C104" s="303">
        <f>'Nota de venta'!G102</f>
        <v>0</v>
      </c>
      <c r="D104" s="385">
        <f>'Nota de venta'!B102</f>
        <v>0</v>
      </c>
      <c r="E104" s="318">
        <f>'Nota de venta'!E102</f>
        <v>0</v>
      </c>
      <c r="F104" s="319">
        <f>'Nota de venta'!F102</f>
        <v>0</v>
      </c>
      <c r="G104" s="319">
        <f>'Nota de venta'!J102</f>
        <v>0</v>
      </c>
      <c r="H104" s="140" t="e">
        <f>'Nota de venta'!G209</f>
        <v>#DIV/0!</v>
      </c>
      <c r="I104" s="257">
        <f>IF(ISNUMBER(COTIZACION[[#This Row],[valor unitario]]),COTIZACION[[#This Row],[valor unitario]]*COTIZACION[[#This Row],['#]],0)</f>
        <v>0</v>
      </c>
    </row>
    <row r="105" spans="1:11" ht="50.25" customHeight="1">
      <c r="A105" s="59">
        <v>94</v>
      </c>
      <c r="B105" s="256">
        <f>'Nota de venta'!L103</f>
        <v>0</v>
      </c>
      <c r="C105" s="303">
        <f>'Nota de venta'!G103</f>
        <v>0</v>
      </c>
      <c r="D105" s="385">
        <f>'Nota de venta'!B103</f>
        <v>0</v>
      </c>
      <c r="E105" s="318">
        <f>'Nota de venta'!E103</f>
        <v>0</v>
      </c>
      <c r="F105" s="319">
        <f>'Nota de venta'!F103</f>
        <v>0</v>
      </c>
      <c r="G105" s="319">
        <f>'Nota de venta'!J103</f>
        <v>0</v>
      </c>
      <c r="H105" s="140" t="e">
        <f>'Nota de venta'!G210</f>
        <v>#DIV/0!</v>
      </c>
      <c r="I105" s="257">
        <f>IF(ISNUMBER(COTIZACION[[#This Row],[valor unitario]]),COTIZACION[[#This Row],[valor unitario]]*COTIZACION[[#This Row],['#]],0)</f>
        <v>0</v>
      </c>
    </row>
    <row r="106" spans="1:11" ht="50.25" customHeight="1">
      <c r="A106" s="59">
        <v>95</v>
      </c>
      <c r="B106" s="256">
        <f>'Nota de venta'!L104</f>
        <v>0</v>
      </c>
      <c r="C106" s="303">
        <f>'Nota de venta'!G104</f>
        <v>0</v>
      </c>
      <c r="D106" s="385">
        <f>'Nota de venta'!B104</f>
        <v>0</v>
      </c>
      <c r="E106" s="366">
        <f>'Nota de venta'!E104</f>
        <v>0</v>
      </c>
      <c r="F106" s="319">
        <f>'Nota de venta'!F104</f>
        <v>0</v>
      </c>
      <c r="G106" s="319">
        <f>'Nota de venta'!J104</f>
        <v>0</v>
      </c>
      <c r="H106" s="140" t="e">
        <f>'Nota de venta'!G211</f>
        <v>#DIV/0!</v>
      </c>
      <c r="I106" s="257">
        <f>IF(ISNUMBER(COTIZACION[[#This Row],[valor unitario]]),COTIZACION[[#This Row],[valor unitario]]*COTIZACION[[#This Row],['#]],0)</f>
        <v>0</v>
      </c>
    </row>
    <row r="107" spans="1:11" ht="50.25" customHeight="1">
      <c r="A107" s="59">
        <v>96</v>
      </c>
      <c r="B107" s="256">
        <f>'Nota de venta'!L105</f>
        <v>0</v>
      </c>
      <c r="C107" s="303">
        <f>'Nota de venta'!G105</f>
        <v>0</v>
      </c>
      <c r="D107" s="385">
        <f>'Nota de venta'!B105</f>
        <v>0</v>
      </c>
      <c r="E107" s="319">
        <f>'Nota de venta'!E105</f>
        <v>0</v>
      </c>
      <c r="F107" s="319">
        <f>'Nota de venta'!F105</f>
        <v>0</v>
      </c>
      <c r="G107" s="319">
        <f>'Nota de venta'!J105</f>
        <v>0</v>
      </c>
      <c r="H107" s="140" t="e">
        <f>'Nota de venta'!G212</f>
        <v>#DIV/0!</v>
      </c>
      <c r="I107" s="257">
        <f>IF(ISNUMBER(COTIZACION[[#This Row],[valor unitario]]),COTIZACION[[#This Row],[valor unitario]]*COTIZACION[[#This Row],['#]],0)</f>
        <v>0</v>
      </c>
    </row>
    <row r="108" spans="1:11" ht="50.25" customHeight="1">
      <c r="A108" s="59">
        <v>97</v>
      </c>
      <c r="B108" s="256">
        <f>'Nota de venta'!L106</f>
        <v>0</v>
      </c>
      <c r="C108" s="303">
        <f>'Nota de venta'!G106</f>
        <v>0</v>
      </c>
      <c r="D108" s="385">
        <f>'Nota de venta'!B106</f>
        <v>0</v>
      </c>
      <c r="E108" s="318">
        <f>'Nota de venta'!E106</f>
        <v>0</v>
      </c>
      <c r="F108" s="319">
        <f>'Nota de venta'!F106</f>
        <v>0</v>
      </c>
      <c r="G108" s="319">
        <f>'Nota de venta'!J106</f>
        <v>0</v>
      </c>
      <c r="H108" s="140" t="e">
        <f>'Nota de venta'!G213</f>
        <v>#DIV/0!</v>
      </c>
      <c r="I108" s="257">
        <f>IF(ISNUMBER(COTIZACION[[#This Row],[valor unitario]]),COTIZACION[[#This Row],[valor unitario]]*COTIZACION[[#This Row],['#]],0)</f>
        <v>0</v>
      </c>
    </row>
    <row r="109" spans="1:11" ht="50.25" customHeight="1">
      <c r="A109" s="59">
        <v>98</v>
      </c>
      <c r="B109" s="256">
        <f>'Nota de venta'!L107</f>
        <v>0</v>
      </c>
      <c r="C109" s="303">
        <f>'Nota de venta'!G107</f>
        <v>0</v>
      </c>
      <c r="D109" s="385">
        <f>'Nota de venta'!B107</f>
        <v>0</v>
      </c>
      <c r="E109" s="318">
        <f>'Nota de venta'!E107</f>
        <v>0</v>
      </c>
      <c r="F109" s="319">
        <f>'Nota de venta'!F107</f>
        <v>0</v>
      </c>
      <c r="G109" s="319">
        <f>'Nota de venta'!J107</f>
        <v>0</v>
      </c>
      <c r="H109" s="140" t="e">
        <f>'Nota de venta'!G214</f>
        <v>#DIV/0!</v>
      </c>
      <c r="I109" s="257">
        <f>IF(ISNUMBER(COTIZACION[[#This Row],[valor unitario]]),COTIZACION[[#This Row],[valor unitario]]*COTIZACION[[#This Row],['#]],0)</f>
        <v>0</v>
      </c>
    </row>
    <row r="110" spans="1:11" ht="50.25" customHeight="1">
      <c r="A110" s="59">
        <v>99</v>
      </c>
      <c r="B110" s="256">
        <f>'Nota de venta'!L108</f>
        <v>0</v>
      </c>
      <c r="C110" s="303">
        <f>'Nota de venta'!G108</f>
        <v>0</v>
      </c>
      <c r="D110" s="385">
        <f>'Nota de venta'!B108</f>
        <v>0</v>
      </c>
      <c r="E110" s="318">
        <f>'Nota de venta'!E108</f>
        <v>0</v>
      </c>
      <c r="F110" s="319">
        <f>'Nota de venta'!F108</f>
        <v>0</v>
      </c>
      <c r="G110" s="319">
        <f>'Nota de venta'!J108</f>
        <v>0</v>
      </c>
      <c r="H110" s="140" t="e">
        <f>'Nota de venta'!G215</f>
        <v>#DIV/0!</v>
      </c>
      <c r="I110" s="257">
        <f>IF(ISNUMBER(COTIZACION[[#This Row],[valor unitario]]),COTIZACION[[#This Row],[valor unitario]]*COTIZACION[[#This Row],['#]],0)</f>
        <v>0</v>
      </c>
    </row>
    <row r="111" spans="1:11" ht="50.25" customHeight="1">
      <c r="A111" s="59">
        <v>100</v>
      </c>
      <c r="B111" s="256">
        <f>'Nota de venta'!L109</f>
        <v>0</v>
      </c>
      <c r="C111" s="303">
        <f>'Nota de venta'!G109</f>
        <v>0</v>
      </c>
      <c r="D111" s="385">
        <f>'Nota de venta'!B109</f>
        <v>0</v>
      </c>
      <c r="E111" s="318">
        <f>'Nota de venta'!E110</f>
        <v>0</v>
      </c>
      <c r="F111" s="319">
        <f>'Nota de venta'!F110</f>
        <v>0</v>
      </c>
      <c r="G111" s="319">
        <f>'Nota de venta'!J110</f>
        <v>0</v>
      </c>
      <c r="H111" s="140" t="e">
        <f>'Nota de venta'!G216</f>
        <v>#DIV/0!</v>
      </c>
      <c r="I111" s="257">
        <f>IF(ISNUMBER(COTIZACION[[#This Row],[valor unitario]]),COTIZACION[[#This Row],[valor unitario]]*COTIZACION[[#This Row],['#]],0)</f>
        <v>0</v>
      </c>
    </row>
    <row r="112" spans="1:11" ht="41" customHeight="1" thickBot="1">
      <c r="C112" s="399">
        <f>SUM(COTIZACION['#])</f>
        <v>0</v>
      </c>
      <c r="D112" s="178"/>
      <c r="E112" s="72"/>
      <c r="F112" s="72"/>
      <c r="G112" s="400"/>
      <c r="H112" s="143" t="s">
        <v>152</v>
      </c>
      <c r="I112" s="143">
        <f>SUM(I12:I111)</f>
        <v>0</v>
      </c>
      <c r="J112" s="83"/>
      <c r="K112" s="83"/>
    </row>
    <row r="113" spans="1:27" ht="41" customHeight="1" thickBot="1">
      <c r="A113" s="62"/>
      <c r="B113" s="492" t="s">
        <v>18</v>
      </c>
      <c r="C113" s="493"/>
      <c r="D113" s="494"/>
      <c r="E113" s="307"/>
      <c r="F113" s="72"/>
      <c r="G113" s="72"/>
      <c r="H113" s="143" t="s">
        <v>326</v>
      </c>
      <c r="I113" s="386" cm="1">
        <f t="array" ref="I113:J113">IF('Nota de venta'!I7:J7*SUM('Nota de venta'!H117:H216)&gt;'Nota de venta'!AO217,'Nota de venta'!I7:J7*SUM('Nota de venta'!H117:H216),'Nota de venta'!AO217)</f>
        <v>0</v>
      </c>
      <c r="J113" s="142">
        <v>0</v>
      </c>
      <c r="K113" s="83"/>
    </row>
    <row r="114" spans="1:27" ht="41" customHeight="1">
      <c r="A114" s="62"/>
      <c r="F114" s="72"/>
      <c r="G114" s="72"/>
      <c r="H114" s="387" t="s">
        <v>325</v>
      </c>
      <c r="I114" s="388">
        <f>+I112-I113</f>
        <v>0</v>
      </c>
      <c r="L114" s="83"/>
    </row>
    <row r="115" spans="1:27" ht="37.049999999999997" customHeight="1">
      <c r="A115" s="62"/>
      <c r="H115" s="389" t="s">
        <v>153</v>
      </c>
      <c r="I115" s="390">
        <f>+I114*0.19</f>
        <v>0</v>
      </c>
    </row>
    <row r="116" spans="1:27" ht="42" customHeight="1" thickBot="1">
      <c r="A116" s="62"/>
      <c r="H116" s="391" t="s">
        <v>154</v>
      </c>
      <c r="I116" s="392">
        <f>+I114+I115</f>
        <v>0</v>
      </c>
      <c r="AA116" s="73"/>
    </row>
    <row r="117" spans="1:27" ht="50.25" customHeight="1">
      <c r="A117" s="62"/>
      <c r="B117" s="495" t="s">
        <v>267</v>
      </c>
      <c r="C117" s="496"/>
      <c r="D117" s="496"/>
      <c r="E117" s="496"/>
      <c r="F117" s="496"/>
      <c r="G117" s="496"/>
      <c r="H117" s="496"/>
      <c r="I117" s="496"/>
      <c r="AA117" s="73"/>
    </row>
    <row r="118" spans="1:27" ht="20" customHeight="1">
      <c r="B118" s="496"/>
      <c r="C118" s="496"/>
      <c r="D118" s="496"/>
      <c r="E118" s="496"/>
      <c r="F118" s="496"/>
      <c r="G118" s="496"/>
      <c r="H118" s="496"/>
      <c r="I118" s="496"/>
      <c r="J118" s="174"/>
      <c r="K118" s="174"/>
      <c r="L118" s="173"/>
    </row>
    <row r="119" spans="1:27" ht="27" customHeight="1" thickBot="1">
      <c r="B119" s="175"/>
      <c r="C119" s="175"/>
      <c r="D119" s="175"/>
      <c r="E119" s="175"/>
      <c r="F119" s="175"/>
      <c r="G119" s="175"/>
      <c r="H119" s="175"/>
      <c r="I119" s="175"/>
      <c r="J119" s="175"/>
      <c r="K119" s="175"/>
    </row>
    <row r="120" spans="1:27" ht="18.399999999999999" thickBot="1">
      <c r="B120" s="186" t="s">
        <v>261</v>
      </c>
      <c r="C120" s="170"/>
      <c r="D120" s="170"/>
      <c r="E120" s="170"/>
      <c r="F120" s="170"/>
      <c r="G120" s="170"/>
      <c r="H120" s="170"/>
      <c r="I120" s="170"/>
      <c r="J120" s="170"/>
      <c r="K120" s="233"/>
    </row>
    <row r="121" spans="1:27" ht="18"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</row>
    <row r="122" spans="1:27" ht="33" customHeight="1">
      <c r="B122" s="172" t="s">
        <v>36</v>
      </c>
      <c r="C122" s="501" t="s">
        <v>171</v>
      </c>
      <c r="D122" s="502"/>
      <c r="E122" s="502"/>
      <c r="F122" s="502"/>
      <c r="G122" s="502"/>
      <c r="H122" s="502"/>
      <c r="I122" s="496"/>
      <c r="J122" s="496"/>
      <c r="K122" s="496"/>
    </row>
    <row r="123" spans="1:27" ht="16.05" customHeight="1" thickBot="1"/>
    <row r="124" spans="1:27" ht="16.05" customHeight="1" thickBot="1">
      <c r="B124" s="59" t="s">
        <v>268</v>
      </c>
      <c r="D124" s="497" t="s">
        <v>199</v>
      </c>
      <c r="E124" s="498"/>
      <c r="F124" s="499"/>
      <c r="G124" s="499"/>
      <c r="H124" s="499"/>
      <c r="I124" s="500"/>
    </row>
    <row r="126" spans="1:27" ht="24" customHeight="1"/>
    <row r="129" ht="16.05" customHeight="1"/>
    <row r="133" ht="16.05" customHeight="1"/>
    <row r="134" ht="16.05" customHeight="1"/>
    <row r="145" ht="16.05" customHeight="1"/>
    <row r="148" ht="16.05" customHeight="1"/>
    <row r="149" ht="16.05" customHeight="1"/>
    <row r="154" ht="16.05" customHeight="1"/>
    <row r="156" ht="16.05" customHeight="1"/>
    <row r="157" ht="16.05" customHeight="1"/>
    <row r="159" ht="16.05" customHeight="1"/>
    <row r="161" ht="16.05" customHeight="1"/>
    <row r="162" ht="16.05" customHeight="1"/>
    <row r="164" ht="16.05" customHeight="1"/>
    <row r="165" ht="16.05" customHeight="1"/>
    <row r="166" ht="16.05" customHeight="1"/>
    <row r="168" ht="16.05" customHeight="1"/>
    <row r="169" ht="16.05" customHeight="1"/>
    <row r="170" ht="16.05" customHeight="1"/>
    <row r="171" ht="16.05" customHeight="1"/>
    <row r="173" ht="16.05" customHeight="1"/>
    <row r="174" ht="16.05" customHeight="1"/>
    <row r="191" ht="16.05" customHeight="1"/>
    <row r="192" ht="16.05" customHeight="1"/>
    <row r="193" ht="16.05" customHeight="1"/>
    <row r="194" ht="16.05" customHeight="1"/>
    <row r="195" ht="16.05" customHeight="1"/>
    <row r="196" ht="16.05" customHeight="1"/>
    <row r="198" ht="16.05" customHeight="1"/>
    <row r="199" ht="16.05" customHeight="1"/>
    <row r="200" ht="16.05" customHeight="1"/>
    <row r="201" ht="16.05" customHeight="1"/>
    <row r="202" ht="16.05" customHeight="1"/>
    <row r="203" ht="16.05" customHeight="1"/>
    <row r="204" ht="16.05" customHeight="1"/>
    <row r="206" ht="16.05" customHeight="1"/>
    <row r="207" ht="16.05" customHeight="1"/>
    <row r="208" ht="16.05" customHeight="1"/>
    <row r="209" ht="16.05" customHeight="1"/>
    <row r="210" ht="16.05" customHeight="1"/>
    <row r="211" ht="16.05" customHeight="1"/>
    <row r="212" ht="16.05" customHeight="1"/>
    <row r="213" ht="16.05" customHeight="1"/>
    <row r="215" ht="16.05" customHeight="1"/>
    <row r="216" ht="16.05" customHeight="1"/>
    <row r="217" ht="16.05" customHeight="1"/>
    <row r="218" ht="16.05" customHeight="1"/>
    <row r="219" ht="16.05" customHeight="1"/>
    <row r="220" ht="16.05" customHeight="1"/>
  </sheetData>
  <mergeCells count="20">
    <mergeCell ref="B113:D113"/>
    <mergeCell ref="B117:I118"/>
    <mergeCell ref="D124:I124"/>
    <mergeCell ref="C122:K122"/>
    <mergeCell ref="AD1:AF1"/>
    <mergeCell ref="C8:I8"/>
    <mergeCell ref="AG1:AI1"/>
    <mergeCell ref="AJ1:AK1"/>
    <mergeCell ref="C7:D7"/>
    <mergeCell ref="H7:I7"/>
    <mergeCell ref="F5:G5"/>
    <mergeCell ref="F6:G6"/>
    <mergeCell ref="D3:E3"/>
    <mergeCell ref="F3:H3"/>
    <mergeCell ref="C5:D5"/>
    <mergeCell ref="C6:D6"/>
    <mergeCell ref="H5:I5"/>
    <mergeCell ref="B4:I4"/>
    <mergeCell ref="F7:G7"/>
    <mergeCell ref="H6:I6"/>
  </mergeCells>
  <pageMargins left="0.23734177215189872" right="0.70866141732283505" top="0.74803149606299202" bottom="0.74803149606299202" header="0.31496062992126" footer="0.31496062992126"/>
  <pageSetup scale="26" orientation="portrait" horizontalDpi="4294967292" verticalDpi="4294967292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E3A65-52B2-4BB3-B616-7B28CFD4EDCB}">
  <sheetPr>
    <pageSetUpPr fitToPage="1"/>
  </sheetPr>
  <dimension ref="A1:AN126"/>
  <sheetViews>
    <sheetView showWhiteSpace="0" topLeftCell="B1" zoomScaleNormal="100" workbookViewId="0">
      <selection activeCell="H10" sqref="H10:L10"/>
    </sheetView>
  </sheetViews>
  <sheetFormatPr baseColWidth="10" defaultColWidth="10.796875" defaultRowHeight="14.25" zeroHeight="1"/>
  <cols>
    <col min="1" max="2" width="20.6640625" customWidth="1"/>
    <col min="3" max="3" width="13.19921875" customWidth="1"/>
    <col min="4" max="4" width="9.6640625" customWidth="1"/>
    <col min="5" max="5" width="11.1328125" customWidth="1"/>
    <col min="6" max="6" width="8.33203125" customWidth="1"/>
    <col min="7" max="7" width="9" customWidth="1"/>
    <col min="8" max="8" width="8.33203125" customWidth="1"/>
    <col min="9" max="9" width="11.1328125" customWidth="1"/>
    <col min="10" max="10" width="13.33203125" customWidth="1"/>
    <col min="11" max="11" width="13.46484375" customWidth="1"/>
    <col min="12" max="13" width="12" customWidth="1"/>
  </cols>
  <sheetData>
    <row r="1" spans="1:40" ht="14.65" thickBot="1">
      <c r="A1" s="323"/>
      <c r="B1" s="323"/>
      <c r="C1" s="323"/>
      <c r="D1" s="323"/>
      <c r="E1" s="323"/>
      <c r="F1" s="323"/>
      <c r="G1" s="323"/>
      <c r="H1" s="323"/>
      <c r="I1" s="524" t="s">
        <v>120</v>
      </c>
      <c r="J1" s="525">
        <f>'Nota de venta'!H1</f>
        <v>0</v>
      </c>
      <c r="K1" s="526"/>
      <c r="L1" s="323"/>
      <c r="M1" s="323"/>
      <c r="N1" s="323"/>
      <c r="O1" s="323"/>
      <c r="P1" s="323"/>
      <c r="Q1" s="323"/>
      <c r="R1" s="323"/>
      <c r="S1" s="323"/>
      <c r="T1" s="323"/>
    </row>
    <row r="2" spans="1:40" ht="14.65" thickBot="1">
      <c r="A2" s="323"/>
      <c r="B2" s="323"/>
      <c r="C2" s="323"/>
      <c r="D2" s="529">
        <f>'Nota de venta'!C112</f>
        <v>0</v>
      </c>
      <c r="E2" s="530"/>
      <c r="F2" s="530"/>
      <c r="G2" s="531"/>
      <c r="H2" s="323"/>
      <c r="I2" s="524"/>
      <c r="J2" s="527"/>
      <c r="K2" s="528"/>
      <c r="L2" s="323"/>
      <c r="M2" s="323"/>
      <c r="N2" s="323"/>
      <c r="O2" s="323"/>
      <c r="P2" s="323"/>
      <c r="Q2" s="323"/>
      <c r="R2" s="323"/>
      <c r="S2" s="323"/>
      <c r="T2" s="323"/>
    </row>
    <row r="3" spans="1:40" ht="21.4" thickBot="1">
      <c r="A3" s="323"/>
      <c r="B3" s="323"/>
      <c r="C3" s="323"/>
      <c r="D3" s="532"/>
      <c r="E3" s="533"/>
      <c r="F3" s="533"/>
      <c r="G3" s="534"/>
      <c r="H3" s="323"/>
      <c r="I3" s="144" t="s">
        <v>121</v>
      </c>
      <c r="J3" s="274"/>
      <c r="K3" s="369"/>
      <c r="L3" s="323"/>
      <c r="M3" s="323"/>
      <c r="N3" s="323"/>
      <c r="O3" s="323"/>
      <c r="P3" s="323"/>
      <c r="Q3" s="323"/>
      <c r="R3" s="323"/>
      <c r="S3" s="323"/>
      <c r="T3" s="323"/>
    </row>
    <row r="4" spans="1:40" ht="21.4" thickBot="1">
      <c r="A4" s="323"/>
      <c r="B4" s="323"/>
      <c r="C4" s="323"/>
      <c r="D4" s="323"/>
      <c r="E4" s="323"/>
      <c r="F4" s="323"/>
      <c r="G4" s="323"/>
      <c r="H4" s="323"/>
      <c r="I4" s="144" t="s">
        <v>122</v>
      </c>
      <c r="J4" s="370"/>
      <c r="K4" s="371"/>
      <c r="L4" s="323"/>
      <c r="M4" s="323"/>
      <c r="N4" s="323"/>
      <c r="O4" s="323"/>
      <c r="P4" s="323"/>
      <c r="Q4" s="323"/>
      <c r="R4" s="323"/>
      <c r="S4" s="323"/>
      <c r="T4" s="323"/>
    </row>
    <row r="5" spans="1:40" ht="21" thickBot="1">
      <c r="A5" s="121" t="s">
        <v>123</v>
      </c>
      <c r="B5" s="522">
        <f>'Nota de venta'!C6</f>
        <v>0</v>
      </c>
      <c r="C5" s="523"/>
      <c r="D5" s="523"/>
      <c r="E5" s="427"/>
      <c r="F5" s="426"/>
      <c r="H5" s="323"/>
      <c r="I5" s="144" t="s">
        <v>402</v>
      </c>
      <c r="J5" s="535">
        <f>'Nota de venta'!C5</f>
        <v>0</v>
      </c>
      <c r="K5" s="536"/>
      <c r="L5" s="323"/>
      <c r="M5" s="323"/>
      <c r="N5" s="323"/>
      <c r="O5" s="323"/>
      <c r="P5" s="323"/>
      <c r="Q5" s="323"/>
      <c r="R5" s="323"/>
      <c r="S5" s="323"/>
      <c r="T5" s="323"/>
    </row>
    <row r="6" spans="1:40" ht="14.65" thickBot="1">
      <c r="A6" s="323"/>
      <c r="B6" s="323"/>
      <c r="C6" s="323"/>
      <c r="D6" s="323"/>
      <c r="E6" s="323"/>
      <c r="F6" s="323"/>
      <c r="G6" s="323"/>
      <c r="H6" s="323"/>
      <c r="I6" s="323"/>
      <c r="J6" s="323"/>
      <c r="K6" s="323"/>
      <c r="L6" s="323"/>
      <c r="M6" s="323"/>
      <c r="N6" s="323"/>
      <c r="O6" s="323"/>
      <c r="P6" s="323"/>
      <c r="Q6" s="323"/>
      <c r="R6" s="323"/>
      <c r="S6" s="323"/>
      <c r="T6" s="323"/>
    </row>
    <row r="7" spans="1:40" ht="18" customHeight="1" thickBot="1">
      <c r="A7" s="121" t="s">
        <v>618</v>
      </c>
      <c r="B7" s="519">
        <f>'Nota de venta'!C114</f>
        <v>0</v>
      </c>
      <c r="C7" s="520"/>
      <c r="D7" s="520"/>
      <c r="E7" s="520"/>
      <c r="F7" s="520"/>
      <c r="G7" s="520"/>
      <c r="H7" s="520"/>
      <c r="I7" s="520"/>
      <c r="J7" s="520"/>
      <c r="K7" s="521"/>
      <c r="L7" s="323"/>
      <c r="M7" s="323"/>
      <c r="N7" s="323"/>
      <c r="O7" s="323"/>
      <c r="P7" s="323"/>
      <c r="Q7" s="323"/>
      <c r="R7" s="323"/>
      <c r="S7" s="323"/>
      <c r="T7" s="323"/>
    </row>
    <row r="8" spans="1:40" s="119" customFormat="1" ht="16.149999999999999" thickBot="1">
      <c r="C8" s="543"/>
      <c r="D8" s="543"/>
      <c r="E8" s="543"/>
      <c r="F8" s="543"/>
      <c r="J8" s="372"/>
      <c r="K8" s="372"/>
      <c r="L8" s="372"/>
      <c r="M8" s="417"/>
      <c r="N8" s="417"/>
      <c r="O8" s="417"/>
      <c r="P8" s="417"/>
      <c r="Q8" s="417"/>
      <c r="R8" s="417"/>
      <c r="S8" s="417"/>
      <c r="T8" s="408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373" t="s">
        <v>403</v>
      </c>
      <c r="AN8" s="120"/>
    </row>
    <row r="9" spans="1:40" s="119" customFormat="1" ht="15.4" thickBot="1">
      <c r="A9" s="455" t="s">
        <v>404</v>
      </c>
      <c r="B9" s="440" t="s">
        <v>72</v>
      </c>
      <c r="C9" s="441" t="s">
        <v>340</v>
      </c>
      <c r="D9" s="441" t="s">
        <v>298</v>
      </c>
      <c r="E9" s="441" t="s">
        <v>27</v>
      </c>
      <c r="F9" s="441" t="s">
        <v>7</v>
      </c>
      <c r="G9" s="439" t="s">
        <v>405</v>
      </c>
      <c r="H9" s="544" t="s">
        <v>406</v>
      </c>
      <c r="I9" s="544"/>
      <c r="J9" s="544"/>
      <c r="K9" s="544"/>
      <c r="L9" s="544"/>
      <c r="M9" s="408"/>
      <c r="N9" s="408"/>
      <c r="O9" s="408"/>
      <c r="P9" s="408"/>
      <c r="Q9" s="408"/>
      <c r="R9" s="408"/>
      <c r="S9" s="408"/>
      <c r="T9" s="408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</row>
    <row r="10" spans="1:40" s="119" customFormat="1" ht="30" customHeight="1">
      <c r="A10" s="435" t="str">
        <f>NotaDeVenta[[#This Row],[Tema]]</f>
        <v>Tema</v>
      </c>
      <c r="B10" s="435">
        <f>NotaDeVenta[[#This Row],[Producto]]</f>
        <v>0</v>
      </c>
      <c r="C10" s="436">
        <f>NotaDeVenta[[#This Row],[Textil]]</f>
        <v>0</v>
      </c>
      <c r="D10" s="437">
        <f>NotaDeVenta[[#This Row],[Ancho]]</f>
        <v>0</v>
      </c>
      <c r="E10" s="437">
        <f>NotaDeVenta[[#This Row],[Alto]]</f>
        <v>0</v>
      </c>
      <c r="F10" s="438">
        <f>NotaDeVenta[[#This Row],[Cantidad]]</f>
        <v>0</v>
      </c>
      <c r="G10" s="437">
        <f>NotaDeVenta[[#This Row],[ML impresos]]</f>
        <v>0</v>
      </c>
      <c r="H10" s="545"/>
      <c r="I10" s="546"/>
      <c r="J10" s="546"/>
      <c r="K10" s="546"/>
      <c r="L10" s="546"/>
      <c r="M10" s="408"/>
      <c r="N10" s="408"/>
      <c r="O10" s="408"/>
      <c r="P10" s="408"/>
      <c r="Q10" s="408"/>
      <c r="R10" s="408"/>
      <c r="S10" s="408"/>
      <c r="T10" s="408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</row>
    <row r="11" spans="1:40" s="119" customFormat="1" ht="30" customHeight="1">
      <c r="A11" s="435">
        <f>NotaDeVenta[[#This Row],[Tema]]</f>
        <v>0</v>
      </c>
      <c r="B11" s="435">
        <f>NotaDeVenta[[#This Row],[Producto]]</f>
        <v>0</v>
      </c>
      <c r="C11" s="436">
        <f>NotaDeVenta[[#This Row],[Textil]]</f>
        <v>0</v>
      </c>
      <c r="D11" s="437">
        <f>NotaDeVenta[[#This Row],[Ancho]]</f>
        <v>0</v>
      </c>
      <c r="E11" s="437">
        <f>NotaDeVenta[[#This Row],[Alto]]</f>
        <v>0</v>
      </c>
      <c r="F11" s="438">
        <f>NotaDeVenta[[#This Row],[Cantidad]]</f>
        <v>0</v>
      </c>
      <c r="G11" s="437">
        <f>NotaDeVenta[[#This Row],[ML impresos]]</f>
        <v>0</v>
      </c>
      <c r="H11" s="403"/>
      <c r="I11" s="323"/>
      <c r="J11" s="323"/>
      <c r="K11" s="323"/>
      <c r="L11" s="323"/>
      <c r="M11" s="408"/>
      <c r="N11" s="408"/>
      <c r="O11" s="408"/>
      <c r="P11" s="408"/>
      <c r="Q11" s="408"/>
      <c r="R11" s="408"/>
      <c r="S11" s="408"/>
      <c r="T11" s="408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</row>
    <row r="12" spans="1:40" s="119" customFormat="1" ht="30" customHeight="1">
      <c r="A12" s="435">
        <f>NotaDeVenta[[#This Row],[Tema]]</f>
        <v>0</v>
      </c>
      <c r="B12" s="435">
        <f>NotaDeVenta[[#This Row],[Producto]]</f>
        <v>0</v>
      </c>
      <c r="C12" s="436">
        <f>NotaDeVenta[[#This Row],[Textil]]</f>
        <v>0</v>
      </c>
      <c r="D12" s="437">
        <f>NotaDeVenta[[#This Row],[Ancho]]</f>
        <v>0</v>
      </c>
      <c r="E12" s="437">
        <f>NotaDeVenta[[#This Row],[Alto]]</f>
        <v>0</v>
      </c>
      <c r="F12" s="438">
        <f>NotaDeVenta[[#This Row],[Cantidad]]</f>
        <v>0</v>
      </c>
      <c r="G12" s="437">
        <f>NotaDeVenta[[#This Row],[ML impresos]]</f>
        <v>0</v>
      </c>
      <c r="H12" s="403"/>
      <c r="I12" s="323"/>
      <c r="J12" s="323"/>
      <c r="K12" s="323"/>
      <c r="L12" s="323"/>
      <c r="M12" s="408"/>
      <c r="N12" s="408"/>
      <c r="O12" s="408"/>
      <c r="P12" s="408"/>
      <c r="Q12" s="408"/>
      <c r="R12" s="408"/>
      <c r="S12" s="408"/>
      <c r="T12" s="408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</row>
    <row r="13" spans="1:40" s="119" customFormat="1" ht="30" customHeight="1">
      <c r="A13" s="435">
        <f>NotaDeVenta[[#This Row],[Tema]]</f>
        <v>0</v>
      </c>
      <c r="B13" s="435">
        <f>NotaDeVenta[[#This Row],[Producto]]</f>
        <v>0</v>
      </c>
      <c r="C13" s="436">
        <f>NotaDeVenta[[#This Row],[Textil]]</f>
        <v>0</v>
      </c>
      <c r="D13" s="437">
        <f>NotaDeVenta[[#This Row],[Ancho]]</f>
        <v>0</v>
      </c>
      <c r="E13" s="437">
        <f>NotaDeVenta[[#This Row],[Alto]]</f>
        <v>0</v>
      </c>
      <c r="F13" s="438">
        <f>NotaDeVenta[[#This Row],[Cantidad]]</f>
        <v>0</v>
      </c>
      <c r="G13" s="437">
        <f>NotaDeVenta[[#This Row],[ML impresos]]</f>
        <v>0</v>
      </c>
      <c r="H13" s="403"/>
      <c r="I13" s="323"/>
      <c r="J13" s="323"/>
      <c r="K13" s="323"/>
      <c r="L13" s="323"/>
      <c r="M13" s="408"/>
      <c r="N13" s="408"/>
      <c r="O13" s="408"/>
      <c r="P13" s="408"/>
      <c r="Q13" s="408"/>
      <c r="R13" s="408"/>
      <c r="S13" s="408"/>
      <c r="T13" s="408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</row>
    <row r="14" spans="1:40" s="119" customFormat="1" ht="30" customHeight="1">
      <c r="A14" s="435">
        <f>NotaDeVenta[[#This Row],[Tema]]</f>
        <v>0</v>
      </c>
      <c r="B14" s="435">
        <f>NotaDeVenta[[#This Row],[Producto]]</f>
        <v>0</v>
      </c>
      <c r="C14" s="436">
        <f>NotaDeVenta[[#This Row],[Textil]]</f>
        <v>0</v>
      </c>
      <c r="D14" s="437">
        <f>NotaDeVenta[[#This Row],[Ancho]]</f>
        <v>0</v>
      </c>
      <c r="E14" s="437">
        <f>NotaDeVenta[[#This Row],[Alto]]</f>
        <v>0</v>
      </c>
      <c r="F14" s="438">
        <f>NotaDeVenta[[#This Row],[Cantidad]]</f>
        <v>0</v>
      </c>
      <c r="G14" s="437">
        <f>NotaDeVenta[[#This Row],[ML impresos]]</f>
        <v>0</v>
      </c>
      <c r="H14" s="403"/>
      <c r="I14" s="323"/>
      <c r="J14" s="323"/>
      <c r="K14" s="323"/>
      <c r="L14" s="323"/>
      <c r="M14" s="408"/>
      <c r="N14" s="408"/>
      <c r="O14" s="408"/>
      <c r="P14" s="408"/>
      <c r="Q14" s="408"/>
      <c r="R14" s="408"/>
      <c r="S14" s="408"/>
      <c r="T14" s="408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</row>
    <row r="15" spans="1:40" s="119" customFormat="1" ht="30" customHeight="1">
      <c r="A15" s="435">
        <f>NotaDeVenta[[#This Row],[Tema]]</f>
        <v>0</v>
      </c>
      <c r="B15" s="435">
        <f>NotaDeVenta[[#This Row],[Producto]]</f>
        <v>0</v>
      </c>
      <c r="C15" s="436">
        <f>NotaDeVenta[[#This Row],[Textil]]</f>
        <v>0</v>
      </c>
      <c r="D15" s="437">
        <f>NotaDeVenta[[#This Row],[Ancho]]</f>
        <v>0</v>
      </c>
      <c r="E15" s="437">
        <f>NotaDeVenta[[#This Row],[Alto]]</f>
        <v>0</v>
      </c>
      <c r="F15" s="438">
        <f>NotaDeVenta[[#This Row],[Cantidad]]</f>
        <v>0</v>
      </c>
      <c r="G15" s="437">
        <f>NotaDeVenta[[#This Row],[ML impresos]]</f>
        <v>0</v>
      </c>
      <c r="H15" s="403"/>
      <c r="I15" s="323"/>
      <c r="J15" s="323"/>
      <c r="K15" s="323"/>
      <c r="L15" s="323"/>
      <c r="M15" s="408"/>
      <c r="N15" s="408"/>
      <c r="O15" s="408"/>
      <c r="P15" s="408"/>
      <c r="Q15" s="408"/>
      <c r="R15" s="408"/>
      <c r="S15" s="408"/>
      <c r="T15" s="408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</row>
    <row r="16" spans="1:40" s="119" customFormat="1" ht="30" customHeight="1">
      <c r="A16" s="435">
        <f>NotaDeVenta[[#This Row],[Tema]]</f>
        <v>0</v>
      </c>
      <c r="B16" s="435">
        <f>NotaDeVenta[[#This Row],[Producto]]</f>
        <v>0</v>
      </c>
      <c r="C16" s="436">
        <f>NotaDeVenta[[#This Row],[Textil]]</f>
        <v>0</v>
      </c>
      <c r="D16" s="437">
        <f>NotaDeVenta[[#This Row],[Ancho]]</f>
        <v>0</v>
      </c>
      <c r="E16" s="437">
        <f>NotaDeVenta[[#This Row],[Alto]]</f>
        <v>0</v>
      </c>
      <c r="F16" s="438">
        <f>NotaDeVenta[[#This Row],[Cantidad]]</f>
        <v>0</v>
      </c>
      <c r="G16" s="437">
        <f>NotaDeVenta[[#This Row],[ML impresos]]</f>
        <v>0</v>
      </c>
      <c r="H16" s="403"/>
      <c r="I16" s="323"/>
      <c r="J16" s="323"/>
      <c r="K16" s="323"/>
      <c r="L16" s="323"/>
      <c r="M16" s="408"/>
      <c r="N16" s="408"/>
      <c r="O16" s="408"/>
      <c r="P16" s="408"/>
      <c r="Q16" s="408"/>
      <c r="R16" s="408"/>
      <c r="S16" s="408"/>
      <c r="T16" s="408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</row>
    <row r="17" spans="1:39" s="119" customFormat="1" ht="30" customHeight="1">
      <c r="A17" s="435">
        <f>NotaDeVenta[[#This Row],[Tema]]</f>
        <v>0</v>
      </c>
      <c r="B17" s="435">
        <f>NotaDeVenta[[#This Row],[Producto]]</f>
        <v>0</v>
      </c>
      <c r="C17" s="436">
        <f>NotaDeVenta[[#This Row],[Textil]]</f>
        <v>0</v>
      </c>
      <c r="D17" s="437">
        <f>NotaDeVenta[[#This Row],[Ancho]]</f>
        <v>0</v>
      </c>
      <c r="E17" s="437">
        <f>NotaDeVenta[[#This Row],[Alto]]</f>
        <v>0</v>
      </c>
      <c r="F17" s="438">
        <f>NotaDeVenta[[#This Row],[Cantidad]]</f>
        <v>0</v>
      </c>
      <c r="G17" s="437">
        <f>NotaDeVenta[[#This Row],[ML impresos]]</f>
        <v>0</v>
      </c>
      <c r="H17" s="403"/>
      <c r="I17" s="323"/>
      <c r="J17" s="323"/>
      <c r="K17" s="323"/>
      <c r="L17" s="323"/>
      <c r="M17" s="408"/>
      <c r="N17" s="408"/>
      <c r="O17" s="408"/>
      <c r="P17" s="408"/>
      <c r="Q17" s="408"/>
      <c r="R17" s="408"/>
      <c r="S17" s="408"/>
      <c r="T17" s="408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</row>
    <row r="18" spans="1:39" s="119" customFormat="1" ht="30" customHeight="1">
      <c r="A18" s="435">
        <f>NotaDeVenta[[#This Row],[Tema]]</f>
        <v>0</v>
      </c>
      <c r="B18" s="435">
        <f>NotaDeVenta[[#This Row],[Producto]]</f>
        <v>0</v>
      </c>
      <c r="C18" s="436">
        <f>NotaDeVenta[[#This Row],[Textil]]</f>
        <v>0</v>
      </c>
      <c r="D18" s="437">
        <f>NotaDeVenta[[#This Row],[Ancho]]</f>
        <v>0</v>
      </c>
      <c r="E18" s="437">
        <f>NotaDeVenta[[#This Row],[Alto]]</f>
        <v>0</v>
      </c>
      <c r="F18" s="438">
        <f>NotaDeVenta[[#This Row],[Cantidad]]</f>
        <v>0</v>
      </c>
      <c r="G18" s="437">
        <f>NotaDeVenta[[#This Row],[ML impresos]]</f>
        <v>0</v>
      </c>
      <c r="H18" s="403"/>
      <c r="I18" s="323"/>
      <c r="J18" s="323"/>
      <c r="K18" s="323"/>
      <c r="L18" s="323"/>
      <c r="M18" s="408"/>
      <c r="N18" s="408"/>
      <c r="O18" s="408"/>
      <c r="P18" s="408"/>
      <c r="Q18" s="408"/>
      <c r="R18" s="408"/>
      <c r="S18" s="408"/>
      <c r="T18" s="408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</row>
    <row r="19" spans="1:39" s="119" customFormat="1" ht="30" customHeight="1">
      <c r="A19" s="435">
        <f>NotaDeVenta[[#This Row],[Tema]]</f>
        <v>0</v>
      </c>
      <c r="B19" s="435">
        <f>NotaDeVenta[[#This Row],[Producto]]</f>
        <v>0</v>
      </c>
      <c r="C19" s="436">
        <f>NotaDeVenta[[#This Row],[Textil]]</f>
        <v>0</v>
      </c>
      <c r="D19" s="437">
        <f>NotaDeVenta[[#This Row],[Ancho]]</f>
        <v>0</v>
      </c>
      <c r="E19" s="437">
        <f>NotaDeVenta[[#This Row],[Alto]]</f>
        <v>0</v>
      </c>
      <c r="F19" s="438">
        <f>NotaDeVenta[[#This Row],[Cantidad]]</f>
        <v>0</v>
      </c>
      <c r="G19" s="437">
        <f>NotaDeVenta[[#This Row],[ML impresos]]</f>
        <v>0</v>
      </c>
      <c r="H19" s="403"/>
      <c r="I19" s="323"/>
      <c r="J19" s="323"/>
      <c r="K19" s="323"/>
      <c r="L19" s="323"/>
      <c r="M19" s="408"/>
      <c r="N19" s="408"/>
      <c r="O19" s="408"/>
      <c r="P19" s="408"/>
      <c r="Q19" s="408"/>
      <c r="R19" s="408"/>
      <c r="S19" s="408"/>
      <c r="T19" s="408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</row>
    <row r="20" spans="1:39" s="119" customFormat="1" ht="30" customHeight="1">
      <c r="A20" s="435">
        <f>NotaDeVenta[[#This Row],[Tema]]</f>
        <v>0</v>
      </c>
      <c r="B20" s="435">
        <f>NotaDeVenta[[#This Row],[Producto]]</f>
        <v>0</v>
      </c>
      <c r="C20" s="436">
        <f>NotaDeVenta[[#This Row],[Textil]]</f>
        <v>0</v>
      </c>
      <c r="D20" s="437">
        <f>NotaDeVenta[[#This Row],[Ancho]]</f>
        <v>0</v>
      </c>
      <c r="E20" s="437">
        <f>NotaDeVenta[[#This Row],[Alto]]</f>
        <v>0</v>
      </c>
      <c r="F20" s="438">
        <f>NotaDeVenta[[#This Row],[Cantidad]]</f>
        <v>0</v>
      </c>
      <c r="G20" s="437">
        <f>NotaDeVenta[[#This Row],[ML impresos]]</f>
        <v>0</v>
      </c>
      <c r="H20" s="403"/>
      <c r="I20" s="323"/>
      <c r="J20" s="323"/>
      <c r="K20" s="323"/>
      <c r="L20" s="323"/>
      <c r="M20" s="408"/>
      <c r="N20" s="408"/>
      <c r="O20" s="408"/>
      <c r="P20" s="408"/>
      <c r="Q20" s="408"/>
      <c r="R20" s="408"/>
      <c r="S20" s="408"/>
      <c r="T20" s="408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</row>
    <row r="21" spans="1:39" s="119" customFormat="1" ht="30" customHeight="1">
      <c r="A21" s="435">
        <f>NotaDeVenta[[#This Row],[Tema]]</f>
        <v>0</v>
      </c>
      <c r="B21" s="435">
        <f>NotaDeVenta[[#This Row],[Producto]]</f>
        <v>0</v>
      </c>
      <c r="C21" s="436">
        <f>NotaDeVenta[[#This Row],[Textil]]</f>
        <v>0</v>
      </c>
      <c r="D21" s="437">
        <f>NotaDeVenta[[#This Row],[Ancho]]</f>
        <v>0</v>
      </c>
      <c r="E21" s="437">
        <f>NotaDeVenta[[#This Row],[Alto]]</f>
        <v>0</v>
      </c>
      <c r="F21" s="438">
        <f>NotaDeVenta[[#This Row],[Cantidad]]</f>
        <v>0</v>
      </c>
      <c r="G21" s="437">
        <f>NotaDeVenta[[#This Row],[ML impresos]]</f>
        <v>0</v>
      </c>
      <c r="H21" s="403"/>
      <c r="I21" s="323"/>
      <c r="J21" s="323"/>
      <c r="K21" s="323"/>
      <c r="L21" s="323"/>
      <c r="M21" s="408"/>
      <c r="N21" s="408"/>
      <c r="O21" s="408"/>
      <c r="P21" s="408"/>
      <c r="Q21" s="408"/>
      <c r="R21" s="408"/>
      <c r="S21" s="408"/>
      <c r="T21" s="408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</row>
    <row r="22" spans="1:39" s="119" customFormat="1" ht="30" customHeight="1">
      <c r="A22" s="435">
        <f>NotaDeVenta[[#This Row],[Tema]]</f>
        <v>0</v>
      </c>
      <c r="B22" s="435">
        <f>NotaDeVenta[[#This Row],[Producto]]</f>
        <v>0</v>
      </c>
      <c r="C22" s="436">
        <f>NotaDeVenta[[#This Row],[Textil]]</f>
        <v>0</v>
      </c>
      <c r="D22" s="437">
        <f>NotaDeVenta[[#This Row],[Ancho]]</f>
        <v>0</v>
      </c>
      <c r="E22" s="437">
        <f>NotaDeVenta[[#This Row],[Alto]]</f>
        <v>0</v>
      </c>
      <c r="F22" s="438">
        <f>NotaDeVenta[[#This Row],[Cantidad]]</f>
        <v>0</v>
      </c>
      <c r="G22" s="437">
        <f>NotaDeVenta[[#This Row],[ML impresos]]</f>
        <v>0</v>
      </c>
      <c r="H22" s="403"/>
      <c r="I22" s="323"/>
      <c r="J22" s="323"/>
      <c r="K22" s="323"/>
      <c r="L22" s="323"/>
      <c r="M22" s="408"/>
      <c r="N22" s="408"/>
      <c r="O22" s="408"/>
      <c r="P22" s="408"/>
      <c r="Q22" s="408"/>
      <c r="R22" s="408"/>
      <c r="S22" s="408"/>
      <c r="T22" s="408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</row>
    <row r="23" spans="1:39" s="119" customFormat="1" ht="30" customHeight="1">
      <c r="A23" s="435">
        <f>NotaDeVenta[[#This Row],[Tema]]</f>
        <v>0</v>
      </c>
      <c r="B23" s="435">
        <f>NotaDeVenta[[#This Row],[Producto]]</f>
        <v>0</v>
      </c>
      <c r="C23" s="436">
        <f>NotaDeVenta[[#This Row],[Textil]]</f>
        <v>0</v>
      </c>
      <c r="D23" s="437">
        <f>NotaDeVenta[[#This Row],[Ancho]]</f>
        <v>0</v>
      </c>
      <c r="E23" s="437">
        <f>NotaDeVenta[[#This Row],[Alto]]</f>
        <v>0</v>
      </c>
      <c r="F23" s="438">
        <f>NotaDeVenta[[#This Row],[Cantidad]]</f>
        <v>0</v>
      </c>
      <c r="G23" s="437">
        <f>NotaDeVenta[[#This Row],[ML impresos]]</f>
        <v>0</v>
      </c>
      <c r="H23" s="403"/>
      <c r="I23" s="323"/>
      <c r="J23" s="323"/>
      <c r="K23" s="323"/>
      <c r="L23" s="323"/>
      <c r="M23" s="408"/>
      <c r="N23" s="408"/>
      <c r="O23" s="408"/>
      <c r="P23" s="408"/>
      <c r="Q23" s="408"/>
      <c r="R23" s="408"/>
      <c r="S23" s="408"/>
      <c r="T23" s="408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</row>
    <row r="24" spans="1:39" s="119" customFormat="1" ht="30" customHeight="1">
      <c r="A24" s="435">
        <f>NotaDeVenta[[#This Row],[Tema]]</f>
        <v>0</v>
      </c>
      <c r="B24" s="435">
        <f>NotaDeVenta[[#This Row],[Producto]]</f>
        <v>0</v>
      </c>
      <c r="C24" s="436">
        <f>NotaDeVenta[[#This Row],[Textil]]</f>
        <v>0</v>
      </c>
      <c r="D24" s="437">
        <f>NotaDeVenta[[#This Row],[Ancho]]</f>
        <v>0</v>
      </c>
      <c r="E24" s="437">
        <f>NotaDeVenta[[#This Row],[Alto]]</f>
        <v>0</v>
      </c>
      <c r="F24" s="438">
        <f>NotaDeVenta[[#This Row],[Cantidad]]</f>
        <v>0</v>
      </c>
      <c r="G24" s="437">
        <f>NotaDeVenta[[#This Row],[ML impresos]]</f>
        <v>0</v>
      </c>
      <c r="H24" s="403"/>
      <c r="I24" s="323"/>
      <c r="J24" s="323"/>
      <c r="K24" s="323"/>
      <c r="L24" s="323"/>
      <c r="M24" s="408"/>
      <c r="N24" s="408"/>
      <c r="O24" s="408"/>
      <c r="P24" s="408"/>
      <c r="Q24" s="408"/>
      <c r="R24" s="408"/>
      <c r="S24" s="408"/>
      <c r="T24" s="408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</row>
    <row r="25" spans="1:39" s="119" customFormat="1" ht="30" customHeight="1">
      <c r="A25" s="435">
        <f>NotaDeVenta[[#This Row],[Tema]]</f>
        <v>0</v>
      </c>
      <c r="B25" s="435">
        <f>NotaDeVenta[[#This Row],[Producto]]</f>
        <v>0</v>
      </c>
      <c r="C25" s="436">
        <f>NotaDeVenta[[#This Row],[Textil]]</f>
        <v>0</v>
      </c>
      <c r="D25" s="437">
        <f>NotaDeVenta[[#This Row],[Ancho]]</f>
        <v>0</v>
      </c>
      <c r="E25" s="437">
        <f>NotaDeVenta[[#This Row],[Alto]]</f>
        <v>0</v>
      </c>
      <c r="F25" s="438">
        <f>NotaDeVenta[[#This Row],[Cantidad]]</f>
        <v>0</v>
      </c>
      <c r="G25" s="437">
        <f>NotaDeVenta[[#This Row],[ML impresos]]</f>
        <v>0</v>
      </c>
      <c r="H25" s="403"/>
      <c r="I25" s="323"/>
      <c r="J25" s="323"/>
      <c r="K25" s="323"/>
      <c r="L25" s="323"/>
      <c r="M25" s="408"/>
      <c r="N25" s="408"/>
      <c r="O25" s="408"/>
      <c r="P25" s="408"/>
      <c r="Q25" s="408"/>
      <c r="R25" s="408"/>
      <c r="S25" s="408"/>
      <c r="T25" s="408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</row>
    <row r="26" spans="1:39" s="119" customFormat="1" ht="30" customHeight="1">
      <c r="A26" s="435">
        <f>NotaDeVenta[[#This Row],[Tema]]</f>
        <v>0</v>
      </c>
      <c r="B26" s="435">
        <f>NotaDeVenta[[#This Row],[Producto]]</f>
        <v>0</v>
      </c>
      <c r="C26" s="436">
        <f>NotaDeVenta[[#This Row],[Textil]]</f>
        <v>0</v>
      </c>
      <c r="D26" s="437">
        <f>NotaDeVenta[[#This Row],[Ancho]]</f>
        <v>0</v>
      </c>
      <c r="E26" s="437">
        <f>NotaDeVenta[[#This Row],[Alto]]</f>
        <v>0</v>
      </c>
      <c r="F26" s="438">
        <f>NotaDeVenta[[#This Row],[Cantidad]]</f>
        <v>0</v>
      </c>
      <c r="G26" s="437">
        <f>NotaDeVenta[[#This Row],[ML impresos]]</f>
        <v>0</v>
      </c>
      <c r="H26" s="403"/>
      <c r="I26" s="323"/>
      <c r="J26" s="323"/>
      <c r="K26" s="323"/>
      <c r="L26" s="323"/>
      <c r="M26" s="408"/>
      <c r="N26" s="408"/>
      <c r="O26" s="408"/>
      <c r="P26" s="408"/>
      <c r="Q26" s="408"/>
      <c r="R26" s="408"/>
      <c r="S26" s="408"/>
      <c r="T26" s="408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</row>
    <row r="27" spans="1:39" s="119" customFormat="1" ht="30" customHeight="1">
      <c r="A27" s="435">
        <f>NotaDeVenta[[#This Row],[Tema]]</f>
        <v>0</v>
      </c>
      <c r="B27" s="435">
        <f>NotaDeVenta[[#This Row],[Producto]]</f>
        <v>0</v>
      </c>
      <c r="C27" s="436">
        <f>NotaDeVenta[[#This Row],[Textil]]</f>
        <v>0</v>
      </c>
      <c r="D27" s="437">
        <f>NotaDeVenta[[#This Row],[Ancho]]</f>
        <v>0</v>
      </c>
      <c r="E27" s="437">
        <f>NotaDeVenta[[#This Row],[Alto]]</f>
        <v>0</v>
      </c>
      <c r="F27" s="438">
        <f>NotaDeVenta[[#This Row],[Cantidad]]</f>
        <v>0</v>
      </c>
      <c r="G27" s="437">
        <f>NotaDeVenta[[#This Row],[ML impresos]]</f>
        <v>0</v>
      </c>
      <c r="H27" s="403"/>
      <c r="I27" s="323"/>
      <c r="J27" s="323"/>
      <c r="K27" s="323"/>
      <c r="L27" s="323"/>
      <c r="M27" s="408"/>
      <c r="N27" s="408"/>
      <c r="O27" s="408"/>
      <c r="P27" s="408"/>
      <c r="Q27" s="408"/>
      <c r="R27" s="408"/>
      <c r="S27" s="408"/>
      <c r="T27" s="408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</row>
    <row r="28" spans="1:39" s="119" customFormat="1" ht="30" customHeight="1">
      <c r="A28" s="435">
        <f>NotaDeVenta[[#This Row],[Tema]]</f>
        <v>0</v>
      </c>
      <c r="B28" s="435">
        <f>NotaDeVenta[[#This Row],[Producto]]</f>
        <v>0</v>
      </c>
      <c r="C28" s="436">
        <f>NotaDeVenta[[#This Row],[Textil]]</f>
        <v>0</v>
      </c>
      <c r="D28" s="437">
        <f>NotaDeVenta[[#This Row],[Ancho]]</f>
        <v>0</v>
      </c>
      <c r="E28" s="437">
        <f>NotaDeVenta[[#This Row],[Alto]]</f>
        <v>0</v>
      </c>
      <c r="F28" s="438">
        <f>NotaDeVenta[[#This Row],[Cantidad]]</f>
        <v>0</v>
      </c>
      <c r="G28" s="437">
        <f>NotaDeVenta[[#This Row],[ML impresos]]</f>
        <v>0</v>
      </c>
      <c r="H28" s="403"/>
      <c r="I28" s="323"/>
      <c r="J28" s="323"/>
      <c r="K28" s="323"/>
      <c r="L28" s="323"/>
      <c r="M28" s="408"/>
      <c r="N28" s="408"/>
      <c r="O28" s="408"/>
      <c r="P28" s="408"/>
      <c r="Q28" s="408"/>
      <c r="R28" s="408"/>
      <c r="S28" s="408"/>
      <c r="T28" s="408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</row>
    <row r="29" spans="1:39" s="119" customFormat="1" ht="30" customHeight="1">
      <c r="A29" s="435">
        <f>NotaDeVenta[[#This Row],[Tema]]</f>
        <v>0</v>
      </c>
      <c r="B29" s="435">
        <f>NotaDeVenta[[#This Row],[Producto]]</f>
        <v>0</v>
      </c>
      <c r="C29" s="436">
        <f>NotaDeVenta[[#This Row],[Textil]]</f>
        <v>0</v>
      </c>
      <c r="D29" s="437">
        <f>NotaDeVenta[[#This Row],[Ancho]]</f>
        <v>0</v>
      </c>
      <c r="E29" s="437">
        <f>NotaDeVenta[[#This Row],[Alto]]</f>
        <v>0</v>
      </c>
      <c r="F29" s="438">
        <f>NotaDeVenta[[#This Row],[Cantidad]]</f>
        <v>0</v>
      </c>
      <c r="G29" s="437">
        <f>NotaDeVenta[[#This Row],[ML impresos]]</f>
        <v>0</v>
      </c>
      <c r="H29" s="403"/>
      <c r="I29" s="323"/>
      <c r="J29" s="323"/>
      <c r="K29" s="323"/>
      <c r="L29" s="323"/>
      <c r="M29" s="408"/>
      <c r="N29" s="408"/>
      <c r="O29" s="408"/>
      <c r="P29" s="408"/>
      <c r="Q29" s="408"/>
      <c r="R29" s="408"/>
      <c r="S29" s="408"/>
      <c r="T29" s="408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</row>
    <row r="30" spans="1:39" s="119" customFormat="1" ht="30" customHeight="1">
      <c r="A30" s="435">
        <f>NotaDeVenta[[#This Row],[Tema]]</f>
        <v>0</v>
      </c>
      <c r="B30" s="435">
        <f>NotaDeVenta[[#This Row],[Producto]]</f>
        <v>0</v>
      </c>
      <c r="C30" s="436">
        <f>NotaDeVenta[[#This Row],[Textil]]</f>
        <v>0</v>
      </c>
      <c r="D30" s="437">
        <f>NotaDeVenta[[#This Row],[Ancho]]</f>
        <v>0</v>
      </c>
      <c r="E30" s="437">
        <f>NotaDeVenta[[#This Row],[Alto]]</f>
        <v>0</v>
      </c>
      <c r="F30" s="438">
        <f>NotaDeVenta[[#This Row],[Cantidad]]</f>
        <v>0</v>
      </c>
      <c r="G30" s="437">
        <f>NotaDeVenta[[#This Row],[ML impresos]]</f>
        <v>0</v>
      </c>
      <c r="H30" s="403"/>
      <c r="I30" s="323"/>
      <c r="J30" s="323"/>
      <c r="K30" s="323"/>
      <c r="L30" s="323"/>
      <c r="M30" s="408"/>
      <c r="N30" s="408"/>
      <c r="O30" s="408"/>
      <c r="P30" s="408"/>
      <c r="Q30" s="408"/>
      <c r="R30" s="408"/>
      <c r="S30" s="408"/>
      <c r="T30" s="408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</row>
    <row r="31" spans="1:39" s="119" customFormat="1" ht="30" customHeight="1">
      <c r="A31" s="435">
        <f>NotaDeVenta[[#This Row],[Tema]]</f>
        <v>0</v>
      </c>
      <c r="B31" s="435">
        <f>NotaDeVenta[[#This Row],[Producto]]</f>
        <v>0</v>
      </c>
      <c r="C31" s="436">
        <f>NotaDeVenta[[#This Row],[Textil]]</f>
        <v>0</v>
      </c>
      <c r="D31" s="437">
        <f>NotaDeVenta[[#This Row],[Ancho]]</f>
        <v>0</v>
      </c>
      <c r="E31" s="437">
        <f>NotaDeVenta[[#This Row],[Alto]]</f>
        <v>0</v>
      </c>
      <c r="F31" s="438">
        <f>NotaDeVenta[[#This Row],[Cantidad]]</f>
        <v>0</v>
      </c>
      <c r="G31" s="437">
        <f>NotaDeVenta[[#This Row],[ML impresos]]</f>
        <v>0</v>
      </c>
      <c r="H31" s="403"/>
      <c r="I31" s="323"/>
      <c r="J31" s="323"/>
      <c r="K31" s="323"/>
      <c r="L31" s="323"/>
      <c r="M31" s="408"/>
      <c r="N31" s="408"/>
      <c r="O31" s="408"/>
      <c r="P31" s="408"/>
      <c r="Q31" s="408"/>
      <c r="R31" s="408"/>
      <c r="S31" s="408"/>
      <c r="T31" s="408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</row>
    <row r="32" spans="1:39" s="119" customFormat="1" ht="30" customHeight="1">
      <c r="A32" s="435">
        <f>NotaDeVenta[[#This Row],[Tema]]</f>
        <v>0</v>
      </c>
      <c r="B32" s="435">
        <f>NotaDeVenta[[#This Row],[Producto]]</f>
        <v>0</v>
      </c>
      <c r="C32" s="436">
        <f>NotaDeVenta[[#This Row],[Textil]]</f>
        <v>0</v>
      </c>
      <c r="D32" s="437">
        <f>NotaDeVenta[[#This Row],[Ancho]]</f>
        <v>0</v>
      </c>
      <c r="E32" s="437">
        <f>NotaDeVenta[[#This Row],[Alto]]</f>
        <v>0</v>
      </c>
      <c r="F32" s="438">
        <f>NotaDeVenta[[#This Row],[Cantidad]]</f>
        <v>0</v>
      </c>
      <c r="G32" s="437">
        <f>NotaDeVenta[[#This Row],[ML impresos]]</f>
        <v>0</v>
      </c>
      <c r="H32" s="403"/>
      <c r="I32" s="323"/>
      <c r="J32" s="323"/>
      <c r="K32" s="323"/>
      <c r="L32" s="323"/>
      <c r="M32" s="408"/>
      <c r="N32" s="408"/>
      <c r="O32" s="408"/>
      <c r="P32" s="408"/>
      <c r="Q32" s="408"/>
      <c r="R32" s="408"/>
      <c r="S32" s="408"/>
      <c r="T32" s="408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</row>
    <row r="33" spans="1:39" s="119" customFormat="1" ht="30" customHeight="1">
      <c r="A33" s="435">
        <f>NotaDeVenta[[#This Row],[Tema]]</f>
        <v>0</v>
      </c>
      <c r="B33" s="435">
        <f>NotaDeVenta[[#This Row],[Producto]]</f>
        <v>0</v>
      </c>
      <c r="C33" s="436">
        <f>NotaDeVenta[[#This Row],[Textil]]</f>
        <v>0</v>
      </c>
      <c r="D33" s="437">
        <f>NotaDeVenta[[#This Row],[Ancho]]</f>
        <v>0</v>
      </c>
      <c r="E33" s="437">
        <f>NotaDeVenta[[#This Row],[Alto]]</f>
        <v>0</v>
      </c>
      <c r="F33" s="438">
        <f>NotaDeVenta[[#This Row],[Cantidad]]</f>
        <v>0</v>
      </c>
      <c r="G33" s="437">
        <f>NotaDeVenta[[#This Row],[ML impresos]]</f>
        <v>0</v>
      </c>
      <c r="H33" s="403"/>
      <c r="I33" s="323"/>
      <c r="J33" s="323"/>
      <c r="K33" s="323"/>
      <c r="L33" s="323"/>
      <c r="M33" s="408"/>
      <c r="N33" s="408"/>
      <c r="O33" s="408"/>
      <c r="P33" s="408"/>
      <c r="Q33" s="408"/>
      <c r="R33" s="408"/>
      <c r="S33" s="408"/>
      <c r="T33" s="408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</row>
    <row r="34" spans="1:39" s="119" customFormat="1" ht="30" customHeight="1">
      <c r="A34" s="435">
        <f>NotaDeVenta[[#This Row],[Tema]]</f>
        <v>0</v>
      </c>
      <c r="B34" s="435">
        <f>NotaDeVenta[[#This Row],[Producto]]</f>
        <v>0</v>
      </c>
      <c r="C34" s="436">
        <f>NotaDeVenta[[#This Row],[Textil]]</f>
        <v>0</v>
      </c>
      <c r="D34" s="437">
        <f>NotaDeVenta[[#This Row],[Ancho]]</f>
        <v>0</v>
      </c>
      <c r="E34" s="437">
        <f>NotaDeVenta[[#This Row],[Alto]]</f>
        <v>0</v>
      </c>
      <c r="F34" s="438">
        <f>NotaDeVenta[[#This Row],[Cantidad]]</f>
        <v>0</v>
      </c>
      <c r="G34" s="437">
        <f>NotaDeVenta[[#This Row],[ML impresos]]</f>
        <v>0</v>
      </c>
      <c r="H34" s="403"/>
      <c r="I34" s="323"/>
      <c r="J34" s="323"/>
      <c r="K34" s="323"/>
      <c r="L34" s="323"/>
      <c r="M34" s="408"/>
      <c r="N34" s="408"/>
      <c r="O34" s="408"/>
      <c r="P34" s="408"/>
      <c r="Q34" s="408"/>
      <c r="R34" s="408"/>
      <c r="S34" s="408"/>
      <c r="T34" s="408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</row>
    <row r="35" spans="1:39" s="119" customFormat="1" ht="30" customHeight="1">
      <c r="A35" s="435">
        <f>NotaDeVenta[[#This Row],[Tema]]</f>
        <v>0</v>
      </c>
      <c r="B35" s="435">
        <f>NotaDeVenta[[#This Row],[Producto]]</f>
        <v>0</v>
      </c>
      <c r="C35" s="436">
        <f>NotaDeVenta[[#This Row],[Textil]]</f>
        <v>0</v>
      </c>
      <c r="D35" s="437">
        <f>NotaDeVenta[[#This Row],[Ancho]]</f>
        <v>0</v>
      </c>
      <c r="E35" s="437">
        <f>NotaDeVenta[[#This Row],[Alto]]</f>
        <v>0</v>
      </c>
      <c r="F35" s="438">
        <f>NotaDeVenta[[#This Row],[Cantidad]]</f>
        <v>0</v>
      </c>
      <c r="G35" s="437">
        <f>NotaDeVenta[[#This Row],[ML impresos]]</f>
        <v>0</v>
      </c>
      <c r="H35" s="403"/>
      <c r="I35" s="323"/>
      <c r="J35" s="323"/>
      <c r="K35" s="323"/>
      <c r="L35" s="323"/>
      <c r="M35" s="408"/>
      <c r="N35" s="408"/>
      <c r="O35" s="408"/>
      <c r="P35" s="408"/>
      <c r="Q35" s="408"/>
      <c r="R35" s="408"/>
      <c r="S35" s="408"/>
      <c r="T35" s="408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</row>
    <row r="36" spans="1:39" s="119" customFormat="1" ht="30" customHeight="1">
      <c r="A36" s="435">
        <f>NotaDeVenta[[#This Row],[Tema]]</f>
        <v>0</v>
      </c>
      <c r="B36" s="435">
        <f>NotaDeVenta[[#This Row],[Producto]]</f>
        <v>0</v>
      </c>
      <c r="C36" s="436">
        <f>NotaDeVenta[[#This Row],[Textil]]</f>
        <v>0</v>
      </c>
      <c r="D36" s="437">
        <f>NotaDeVenta[[#This Row],[Ancho]]</f>
        <v>0</v>
      </c>
      <c r="E36" s="437">
        <f>NotaDeVenta[[#This Row],[Alto]]</f>
        <v>0</v>
      </c>
      <c r="F36" s="438">
        <f>NotaDeVenta[[#This Row],[Cantidad]]</f>
        <v>0</v>
      </c>
      <c r="G36" s="437">
        <f>NotaDeVenta[[#This Row],[ML impresos]]</f>
        <v>0</v>
      </c>
      <c r="H36" s="403"/>
      <c r="I36" s="323"/>
      <c r="J36" s="323"/>
      <c r="K36" s="323"/>
      <c r="L36" s="323"/>
      <c r="M36" s="408"/>
      <c r="N36" s="408"/>
      <c r="O36" s="408"/>
      <c r="P36" s="408"/>
      <c r="Q36" s="408"/>
      <c r="R36" s="408"/>
      <c r="S36" s="408"/>
      <c r="T36" s="408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</row>
    <row r="37" spans="1:39" s="119" customFormat="1" ht="30" customHeight="1">
      <c r="A37" s="435">
        <f>NotaDeVenta[[#This Row],[Tema]]</f>
        <v>0</v>
      </c>
      <c r="B37" s="435">
        <f>NotaDeVenta[[#This Row],[Producto]]</f>
        <v>0</v>
      </c>
      <c r="C37" s="436">
        <f>NotaDeVenta[[#This Row],[Textil]]</f>
        <v>0</v>
      </c>
      <c r="D37" s="437">
        <f>NotaDeVenta[[#This Row],[Ancho]]</f>
        <v>0</v>
      </c>
      <c r="E37" s="437">
        <f>NotaDeVenta[[#This Row],[Alto]]</f>
        <v>0</v>
      </c>
      <c r="F37" s="438">
        <f>NotaDeVenta[[#This Row],[Cantidad]]</f>
        <v>0</v>
      </c>
      <c r="G37" s="437">
        <f>NotaDeVenta[[#This Row],[ML impresos]]</f>
        <v>0</v>
      </c>
      <c r="H37" s="403"/>
      <c r="I37" s="323"/>
      <c r="J37" s="323"/>
      <c r="K37" s="323"/>
      <c r="L37" s="323"/>
      <c r="M37" s="408"/>
      <c r="N37" s="408"/>
      <c r="O37" s="408"/>
      <c r="P37" s="408"/>
      <c r="Q37" s="408"/>
      <c r="R37" s="408"/>
      <c r="S37" s="408"/>
      <c r="T37" s="408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</row>
    <row r="38" spans="1:39" s="119" customFormat="1" ht="30" customHeight="1">
      <c r="A38" s="435">
        <f>NotaDeVenta[[#This Row],[Tema]]</f>
        <v>0</v>
      </c>
      <c r="B38" s="435">
        <f>NotaDeVenta[[#This Row],[Producto]]</f>
        <v>0</v>
      </c>
      <c r="C38" s="436">
        <f>NotaDeVenta[[#This Row],[Textil]]</f>
        <v>0</v>
      </c>
      <c r="D38" s="437">
        <f>NotaDeVenta[[#This Row],[Ancho]]</f>
        <v>0</v>
      </c>
      <c r="E38" s="437">
        <f>NotaDeVenta[[#This Row],[Alto]]</f>
        <v>0</v>
      </c>
      <c r="F38" s="438">
        <f>NotaDeVenta[[#This Row],[Cantidad]]</f>
        <v>0</v>
      </c>
      <c r="G38" s="437">
        <f>NotaDeVenta[[#This Row],[ML impresos]]</f>
        <v>0</v>
      </c>
      <c r="H38" s="403"/>
      <c r="I38" s="323"/>
      <c r="J38" s="323"/>
      <c r="K38" s="323"/>
      <c r="L38" s="323"/>
      <c r="M38" s="408"/>
      <c r="N38" s="408"/>
      <c r="O38" s="408"/>
      <c r="P38" s="408"/>
      <c r="Q38" s="408"/>
      <c r="R38" s="408"/>
      <c r="S38" s="408"/>
      <c r="T38" s="408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</row>
    <row r="39" spans="1:39" s="119" customFormat="1" ht="30" customHeight="1">
      <c r="A39" s="435">
        <f>NotaDeVenta[[#This Row],[Tema]]</f>
        <v>0</v>
      </c>
      <c r="B39" s="435">
        <f>NotaDeVenta[[#This Row],[Producto]]</f>
        <v>0</v>
      </c>
      <c r="C39" s="436">
        <f>NotaDeVenta[[#This Row],[Textil]]</f>
        <v>0</v>
      </c>
      <c r="D39" s="437">
        <f>NotaDeVenta[[#This Row],[Ancho]]</f>
        <v>0</v>
      </c>
      <c r="E39" s="437">
        <f>NotaDeVenta[[#This Row],[Alto]]</f>
        <v>0</v>
      </c>
      <c r="F39" s="438">
        <f>NotaDeVenta[[#This Row],[Cantidad]]</f>
        <v>0</v>
      </c>
      <c r="G39" s="437">
        <f>NotaDeVenta[[#This Row],[ML impresos]]</f>
        <v>0</v>
      </c>
      <c r="H39" s="403"/>
      <c r="I39" s="323"/>
      <c r="J39" s="323"/>
      <c r="K39" s="323"/>
      <c r="L39" s="323"/>
      <c r="M39" s="408"/>
      <c r="N39" s="408"/>
      <c r="O39" s="408"/>
      <c r="P39" s="408"/>
      <c r="Q39" s="408"/>
      <c r="R39" s="408"/>
      <c r="S39" s="408"/>
      <c r="T39" s="408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</row>
    <row r="40" spans="1:39" s="119" customFormat="1" ht="30" customHeight="1">
      <c r="A40" s="435">
        <f>NotaDeVenta[[#This Row],[Tema]]</f>
        <v>0</v>
      </c>
      <c r="B40" s="435">
        <f>NotaDeVenta[[#This Row],[Producto]]</f>
        <v>0</v>
      </c>
      <c r="C40" s="436">
        <f>NotaDeVenta[[#This Row],[Textil]]</f>
        <v>0</v>
      </c>
      <c r="D40" s="437">
        <f>NotaDeVenta[[#This Row],[Ancho]]</f>
        <v>0</v>
      </c>
      <c r="E40" s="437">
        <f>NotaDeVenta[[#This Row],[Alto]]</f>
        <v>0</v>
      </c>
      <c r="F40" s="438">
        <f>NotaDeVenta[[#This Row],[Cantidad]]</f>
        <v>0</v>
      </c>
      <c r="G40" s="437">
        <f>NotaDeVenta[[#This Row],[ML impresos]]</f>
        <v>0</v>
      </c>
      <c r="H40" s="403"/>
      <c r="I40" s="323"/>
      <c r="J40" s="323"/>
      <c r="K40" s="323"/>
      <c r="L40" s="323"/>
      <c r="M40" s="408"/>
      <c r="N40" s="408"/>
      <c r="O40" s="408"/>
      <c r="P40" s="408"/>
      <c r="Q40" s="408"/>
      <c r="R40" s="408"/>
      <c r="S40" s="408"/>
      <c r="T40" s="408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</row>
    <row r="41" spans="1:39" s="119" customFormat="1" ht="30" customHeight="1">
      <c r="A41" s="435">
        <f>NotaDeVenta[[#This Row],[Tema]]</f>
        <v>0</v>
      </c>
      <c r="B41" s="435">
        <f>NotaDeVenta[[#This Row],[Producto]]</f>
        <v>0</v>
      </c>
      <c r="C41" s="436">
        <f>NotaDeVenta[[#This Row],[Textil]]</f>
        <v>0</v>
      </c>
      <c r="D41" s="437">
        <f>NotaDeVenta[[#This Row],[Ancho]]</f>
        <v>0</v>
      </c>
      <c r="E41" s="437">
        <f>NotaDeVenta[[#This Row],[Alto]]</f>
        <v>0</v>
      </c>
      <c r="F41" s="438">
        <f>NotaDeVenta[[#This Row],[Cantidad]]</f>
        <v>0</v>
      </c>
      <c r="G41" s="437">
        <f>NotaDeVenta[[#This Row],[ML impresos]]</f>
        <v>0</v>
      </c>
      <c r="H41" s="403"/>
      <c r="I41" s="323"/>
      <c r="J41" s="323"/>
      <c r="K41" s="323"/>
      <c r="L41" s="323"/>
      <c r="M41" s="408"/>
      <c r="N41" s="408"/>
      <c r="O41" s="408"/>
      <c r="P41" s="408"/>
      <c r="Q41" s="408"/>
      <c r="R41" s="408"/>
      <c r="S41" s="408"/>
      <c r="T41" s="408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</row>
    <row r="42" spans="1:39" s="119" customFormat="1" ht="30" customHeight="1">
      <c r="A42" s="435">
        <f>NotaDeVenta[[#This Row],[Tema]]</f>
        <v>0</v>
      </c>
      <c r="B42" s="435">
        <f>NotaDeVenta[[#This Row],[Producto]]</f>
        <v>0</v>
      </c>
      <c r="C42" s="436">
        <f>NotaDeVenta[[#This Row],[Textil]]</f>
        <v>0</v>
      </c>
      <c r="D42" s="437">
        <f>NotaDeVenta[[#This Row],[Ancho]]</f>
        <v>0</v>
      </c>
      <c r="E42" s="437">
        <f>NotaDeVenta[[#This Row],[Alto]]</f>
        <v>0</v>
      </c>
      <c r="F42" s="438">
        <f>NotaDeVenta[[#This Row],[Cantidad]]</f>
        <v>0</v>
      </c>
      <c r="G42" s="437">
        <f>NotaDeVenta[[#This Row],[ML impresos]]</f>
        <v>0</v>
      </c>
      <c r="H42" s="403"/>
      <c r="I42" s="323"/>
      <c r="J42" s="323"/>
      <c r="K42" s="323"/>
      <c r="L42" s="323"/>
      <c r="M42" s="408"/>
      <c r="N42" s="408"/>
      <c r="O42" s="408"/>
      <c r="P42" s="408"/>
      <c r="Q42" s="408"/>
      <c r="R42" s="408"/>
      <c r="S42" s="408"/>
      <c r="T42" s="408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</row>
    <row r="43" spans="1:39" s="119" customFormat="1" ht="30" customHeight="1">
      <c r="A43" s="435">
        <f>NotaDeVenta[[#This Row],[Tema]]</f>
        <v>0</v>
      </c>
      <c r="B43" s="435">
        <f>NotaDeVenta[[#This Row],[Producto]]</f>
        <v>0</v>
      </c>
      <c r="C43" s="436">
        <f>NotaDeVenta[[#This Row],[Textil]]</f>
        <v>0</v>
      </c>
      <c r="D43" s="437">
        <f>NotaDeVenta[[#This Row],[Ancho]]</f>
        <v>0</v>
      </c>
      <c r="E43" s="437">
        <f>NotaDeVenta[[#This Row],[Alto]]</f>
        <v>0</v>
      </c>
      <c r="F43" s="438">
        <f>NotaDeVenta[[#This Row],[Cantidad]]</f>
        <v>0</v>
      </c>
      <c r="G43" s="437">
        <f>NotaDeVenta[[#This Row],[ML impresos]]</f>
        <v>0</v>
      </c>
      <c r="H43" s="403"/>
      <c r="I43" s="323"/>
      <c r="J43" s="323"/>
      <c r="K43" s="323"/>
      <c r="L43" s="323"/>
      <c r="M43" s="408"/>
      <c r="N43" s="408"/>
      <c r="O43" s="408"/>
      <c r="P43" s="408"/>
      <c r="Q43" s="408"/>
      <c r="R43" s="408"/>
      <c r="S43" s="408"/>
      <c r="T43" s="408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</row>
    <row r="44" spans="1:39" s="119" customFormat="1" ht="30" customHeight="1">
      <c r="A44" s="435">
        <f>NotaDeVenta[[#This Row],[Tema]]</f>
        <v>0</v>
      </c>
      <c r="B44" s="435">
        <f>NotaDeVenta[[#This Row],[Producto]]</f>
        <v>0</v>
      </c>
      <c r="C44" s="436">
        <f>NotaDeVenta[[#This Row],[Textil]]</f>
        <v>0</v>
      </c>
      <c r="D44" s="437">
        <f>NotaDeVenta[[#This Row],[Ancho]]</f>
        <v>0</v>
      </c>
      <c r="E44" s="437">
        <f>NotaDeVenta[[#This Row],[Alto]]</f>
        <v>0</v>
      </c>
      <c r="F44" s="438">
        <f>NotaDeVenta[[#This Row],[Cantidad]]</f>
        <v>0</v>
      </c>
      <c r="G44" s="437">
        <f>NotaDeVenta[[#This Row],[ML impresos]]</f>
        <v>0</v>
      </c>
      <c r="H44" s="403"/>
      <c r="I44" s="323"/>
      <c r="J44" s="323"/>
      <c r="K44" s="323"/>
      <c r="L44" s="323"/>
      <c r="M44" s="408"/>
      <c r="N44" s="408"/>
      <c r="O44" s="408"/>
      <c r="P44" s="408"/>
      <c r="Q44" s="408"/>
      <c r="R44" s="408"/>
      <c r="S44" s="408"/>
      <c r="T44" s="408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</row>
    <row r="45" spans="1:39" s="119" customFormat="1" ht="30" customHeight="1">
      <c r="A45" s="435">
        <f>NotaDeVenta[[#This Row],[Tema]]</f>
        <v>0</v>
      </c>
      <c r="B45" s="435">
        <f>NotaDeVenta[[#This Row],[Producto]]</f>
        <v>0</v>
      </c>
      <c r="C45" s="436">
        <f>NotaDeVenta[[#This Row],[Textil]]</f>
        <v>0</v>
      </c>
      <c r="D45" s="437">
        <f>NotaDeVenta[[#This Row],[Ancho]]</f>
        <v>0</v>
      </c>
      <c r="E45" s="437">
        <f>NotaDeVenta[[#This Row],[Alto]]</f>
        <v>0</v>
      </c>
      <c r="F45" s="438">
        <f>NotaDeVenta[[#This Row],[Cantidad]]</f>
        <v>0</v>
      </c>
      <c r="G45" s="437">
        <f>NotaDeVenta[[#This Row],[ML impresos]]</f>
        <v>0</v>
      </c>
      <c r="H45" s="403"/>
      <c r="I45" s="323"/>
      <c r="J45" s="323"/>
      <c r="K45" s="323"/>
      <c r="L45" s="323"/>
      <c r="M45" s="408"/>
      <c r="N45" s="408"/>
      <c r="O45" s="408"/>
      <c r="P45" s="408"/>
      <c r="Q45" s="408"/>
      <c r="R45" s="408"/>
      <c r="S45" s="408"/>
      <c r="T45" s="408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</row>
    <row r="46" spans="1:39" s="119" customFormat="1" ht="30" customHeight="1">
      <c r="A46" s="435">
        <f>NotaDeVenta[[#This Row],[Tema]]</f>
        <v>0</v>
      </c>
      <c r="B46" s="435">
        <f>NotaDeVenta[[#This Row],[Producto]]</f>
        <v>0</v>
      </c>
      <c r="C46" s="436">
        <f>NotaDeVenta[[#This Row],[Textil]]</f>
        <v>0</v>
      </c>
      <c r="D46" s="437">
        <f>NotaDeVenta[[#This Row],[Ancho]]</f>
        <v>0</v>
      </c>
      <c r="E46" s="437">
        <f>NotaDeVenta[[#This Row],[Alto]]</f>
        <v>0</v>
      </c>
      <c r="F46" s="438">
        <f>NotaDeVenta[[#This Row],[Cantidad]]</f>
        <v>0</v>
      </c>
      <c r="G46" s="437">
        <f>NotaDeVenta[[#This Row],[ML impresos]]</f>
        <v>0</v>
      </c>
      <c r="H46" s="403"/>
      <c r="I46" s="323"/>
      <c r="J46" s="323"/>
      <c r="K46" s="323"/>
      <c r="L46" s="323"/>
      <c r="M46" s="408"/>
      <c r="N46" s="408"/>
      <c r="O46" s="408"/>
      <c r="P46" s="408"/>
      <c r="Q46" s="408"/>
      <c r="R46" s="408"/>
      <c r="S46" s="408"/>
      <c r="T46" s="408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</row>
    <row r="47" spans="1:39" s="119" customFormat="1" ht="30" customHeight="1">
      <c r="A47" s="435">
        <f>NotaDeVenta[[#This Row],[Tema]]</f>
        <v>0</v>
      </c>
      <c r="B47" s="435">
        <f>NotaDeVenta[[#This Row],[Producto]]</f>
        <v>0</v>
      </c>
      <c r="C47" s="436">
        <f>NotaDeVenta[[#This Row],[Textil]]</f>
        <v>0</v>
      </c>
      <c r="D47" s="437">
        <f>NotaDeVenta[[#This Row],[Ancho]]</f>
        <v>0</v>
      </c>
      <c r="E47" s="437">
        <f>NotaDeVenta[[#This Row],[Alto]]</f>
        <v>0</v>
      </c>
      <c r="F47" s="438">
        <f>NotaDeVenta[[#This Row],[Cantidad]]</f>
        <v>0</v>
      </c>
      <c r="G47" s="437">
        <f>NotaDeVenta[[#This Row],[ML impresos]]</f>
        <v>0</v>
      </c>
      <c r="H47" s="403"/>
      <c r="I47" s="323"/>
      <c r="J47" s="323"/>
      <c r="K47" s="323"/>
      <c r="L47" s="323"/>
      <c r="M47" s="408"/>
      <c r="N47" s="408"/>
      <c r="O47" s="408"/>
      <c r="P47" s="408"/>
      <c r="Q47" s="408"/>
      <c r="R47" s="408"/>
      <c r="S47" s="408"/>
      <c r="T47" s="408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</row>
    <row r="48" spans="1:39" s="119" customFormat="1" ht="30" customHeight="1">
      <c r="A48" s="435">
        <f>NotaDeVenta[[#This Row],[Tema]]</f>
        <v>0</v>
      </c>
      <c r="B48" s="435">
        <f>NotaDeVenta[[#This Row],[Producto]]</f>
        <v>0</v>
      </c>
      <c r="C48" s="436">
        <f>NotaDeVenta[[#This Row],[Textil]]</f>
        <v>0</v>
      </c>
      <c r="D48" s="437">
        <f>NotaDeVenta[[#This Row],[Ancho]]</f>
        <v>0</v>
      </c>
      <c r="E48" s="437">
        <f>NotaDeVenta[[#This Row],[Alto]]</f>
        <v>0</v>
      </c>
      <c r="F48" s="438">
        <f>NotaDeVenta[[#This Row],[Cantidad]]</f>
        <v>0</v>
      </c>
      <c r="G48" s="437">
        <f>NotaDeVenta[[#This Row],[ML impresos]]</f>
        <v>0</v>
      </c>
      <c r="H48" s="403"/>
      <c r="I48" s="323"/>
      <c r="J48" s="323"/>
      <c r="K48" s="323"/>
      <c r="L48" s="323"/>
      <c r="M48" s="408"/>
      <c r="N48" s="408"/>
      <c r="O48" s="408"/>
      <c r="P48" s="408"/>
      <c r="Q48" s="408"/>
      <c r="R48" s="408"/>
      <c r="S48" s="408"/>
      <c r="T48" s="408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</row>
    <row r="49" spans="1:39" s="119" customFormat="1" ht="30" customHeight="1">
      <c r="A49" s="435">
        <f>NotaDeVenta[[#This Row],[Tema]]</f>
        <v>0</v>
      </c>
      <c r="B49" s="435">
        <f>NotaDeVenta[[#This Row],[Producto]]</f>
        <v>0</v>
      </c>
      <c r="C49" s="436">
        <f>NotaDeVenta[[#This Row],[Textil]]</f>
        <v>0</v>
      </c>
      <c r="D49" s="437">
        <f>NotaDeVenta[[#This Row],[Ancho]]</f>
        <v>0</v>
      </c>
      <c r="E49" s="437">
        <f>NotaDeVenta[[#This Row],[Alto]]</f>
        <v>0</v>
      </c>
      <c r="F49" s="438">
        <f>NotaDeVenta[[#This Row],[Cantidad]]</f>
        <v>0</v>
      </c>
      <c r="G49" s="437">
        <f>NotaDeVenta[[#This Row],[ML impresos]]</f>
        <v>0</v>
      </c>
      <c r="H49" s="403"/>
      <c r="I49" s="323"/>
      <c r="J49" s="323"/>
      <c r="K49" s="323"/>
      <c r="L49" s="323"/>
      <c r="M49" s="408"/>
      <c r="N49" s="408"/>
      <c r="O49" s="408"/>
      <c r="P49" s="408"/>
      <c r="Q49" s="408"/>
      <c r="R49" s="408"/>
      <c r="S49" s="408"/>
      <c r="T49" s="408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</row>
    <row r="50" spans="1:39" s="119" customFormat="1" ht="30" customHeight="1">
      <c r="A50" s="435">
        <f>NotaDeVenta[[#This Row],[Tema]]</f>
        <v>0</v>
      </c>
      <c r="B50" s="435">
        <f>NotaDeVenta[[#This Row],[Producto]]</f>
        <v>0</v>
      </c>
      <c r="C50" s="436">
        <f>NotaDeVenta[[#This Row],[Textil]]</f>
        <v>0</v>
      </c>
      <c r="D50" s="437">
        <f>NotaDeVenta[[#This Row],[Ancho]]</f>
        <v>0</v>
      </c>
      <c r="E50" s="437">
        <f>NotaDeVenta[[#This Row],[Alto]]</f>
        <v>0</v>
      </c>
      <c r="F50" s="438">
        <f>NotaDeVenta[[#This Row],[Cantidad]]</f>
        <v>0</v>
      </c>
      <c r="G50" s="437">
        <f>NotaDeVenta[[#This Row],[ML impresos]]</f>
        <v>0</v>
      </c>
      <c r="H50" s="403"/>
      <c r="I50" s="323"/>
      <c r="J50" s="323"/>
      <c r="K50" s="323"/>
      <c r="L50" s="323"/>
      <c r="M50" s="408"/>
      <c r="N50" s="408"/>
      <c r="O50" s="408"/>
      <c r="P50" s="408"/>
      <c r="Q50" s="408"/>
      <c r="R50" s="408"/>
      <c r="S50" s="408"/>
      <c r="T50" s="408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</row>
    <row r="51" spans="1:39" s="119" customFormat="1" ht="30" customHeight="1">
      <c r="A51" s="435">
        <f>NotaDeVenta[[#This Row],[Tema]]</f>
        <v>0</v>
      </c>
      <c r="B51" s="435">
        <f>NotaDeVenta[[#This Row],[Producto]]</f>
        <v>0</v>
      </c>
      <c r="C51" s="436">
        <f>NotaDeVenta[[#This Row],[Textil]]</f>
        <v>0</v>
      </c>
      <c r="D51" s="437">
        <f>NotaDeVenta[[#This Row],[Ancho]]</f>
        <v>0</v>
      </c>
      <c r="E51" s="437">
        <f>NotaDeVenta[[#This Row],[Alto]]</f>
        <v>0</v>
      </c>
      <c r="F51" s="438">
        <f>NotaDeVenta[[#This Row],[Cantidad]]</f>
        <v>0</v>
      </c>
      <c r="G51" s="437">
        <f>NotaDeVenta[[#This Row],[ML impresos]]</f>
        <v>0</v>
      </c>
      <c r="H51" s="403"/>
      <c r="I51" s="323"/>
      <c r="J51" s="323"/>
      <c r="K51" s="323"/>
      <c r="L51" s="323"/>
      <c r="M51" s="408"/>
      <c r="N51" s="408"/>
      <c r="O51" s="408"/>
      <c r="P51" s="408"/>
      <c r="Q51" s="408"/>
      <c r="R51" s="408"/>
      <c r="S51" s="408"/>
      <c r="T51" s="408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</row>
    <row r="52" spans="1:39" s="119" customFormat="1" ht="30" customHeight="1">
      <c r="A52" s="435">
        <f>NotaDeVenta[[#This Row],[Tema]]</f>
        <v>0</v>
      </c>
      <c r="B52" s="435">
        <f>NotaDeVenta[[#This Row],[Producto]]</f>
        <v>0</v>
      </c>
      <c r="C52" s="436">
        <f>NotaDeVenta[[#This Row],[Textil]]</f>
        <v>0</v>
      </c>
      <c r="D52" s="437">
        <f>NotaDeVenta[[#This Row],[Ancho]]</f>
        <v>0</v>
      </c>
      <c r="E52" s="437">
        <f>NotaDeVenta[[#This Row],[Alto]]</f>
        <v>0</v>
      </c>
      <c r="F52" s="438">
        <f>NotaDeVenta[[#This Row],[Cantidad]]</f>
        <v>0</v>
      </c>
      <c r="G52" s="437">
        <f>NotaDeVenta[[#This Row],[ML impresos]]</f>
        <v>0</v>
      </c>
      <c r="H52" s="403"/>
      <c r="I52" s="323"/>
      <c r="J52" s="323"/>
      <c r="K52" s="323"/>
      <c r="L52" s="323"/>
      <c r="M52" s="408"/>
      <c r="N52" s="408"/>
      <c r="O52" s="408"/>
      <c r="P52" s="408"/>
      <c r="Q52" s="408"/>
      <c r="R52" s="408"/>
      <c r="S52" s="408"/>
      <c r="T52" s="408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</row>
    <row r="53" spans="1:39" s="119" customFormat="1" ht="30" customHeight="1">
      <c r="A53" s="435">
        <f>NotaDeVenta[[#This Row],[Tema]]</f>
        <v>0</v>
      </c>
      <c r="B53" s="435">
        <f>NotaDeVenta[[#This Row],[Producto]]</f>
        <v>0</v>
      </c>
      <c r="C53" s="436">
        <f>NotaDeVenta[[#This Row],[Textil]]</f>
        <v>0</v>
      </c>
      <c r="D53" s="437">
        <f>NotaDeVenta[[#This Row],[Ancho]]</f>
        <v>0</v>
      </c>
      <c r="E53" s="437">
        <f>NotaDeVenta[[#This Row],[Alto]]</f>
        <v>0</v>
      </c>
      <c r="F53" s="438">
        <f>NotaDeVenta[[#This Row],[Cantidad]]</f>
        <v>0</v>
      </c>
      <c r="G53" s="437">
        <f>NotaDeVenta[[#This Row],[ML impresos]]</f>
        <v>0</v>
      </c>
      <c r="H53" s="403"/>
      <c r="I53" s="323"/>
      <c r="J53" s="323"/>
      <c r="K53" s="323"/>
      <c r="L53" s="323"/>
      <c r="M53" s="408"/>
      <c r="N53" s="408"/>
      <c r="O53" s="408"/>
      <c r="P53" s="408"/>
      <c r="Q53" s="408"/>
      <c r="R53" s="408"/>
      <c r="S53" s="408"/>
      <c r="T53" s="408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</row>
    <row r="54" spans="1:39" s="119" customFormat="1" ht="30" customHeight="1">
      <c r="A54" s="435">
        <f>NotaDeVenta[[#This Row],[Tema]]</f>
        <v>0</v>
      </c>
      <c r="B54" s="435">
        <f>NotaDeVenta[[#This Row],[Producto]]</f>
        <v>0</v>
      </c>
      <c r="C54" s="436">
        <f>NotaDeVenta[[#This Row],[Textil]]</f>
        <v>0</v>
      </c>
      <c r="D54" s="437">
        <f>NotaDeVenta[[#This Row],[Ancho]]</f>
        <v>0</v>
      </c>
      <c r="E54" s="437">
        <f>NotaDeVenta[[#This Row],[Alto]]</f>
        <v>0</v>
      </c>
      <c r="F54" s="438">
        <f>NotaDeVenta[[#This Row],[Cantidad]]</f>
        <v>0</v>
      </c>
      <c r="G54" s="437">
        <f>NotaDeVenta[[#This Row],[ML impresos]]</f>
        <v>0</v>
      </c>
      <c r="H54" s="403"/>
      <c r="I54" s="323"/>
      <c r="J54" s="323"/>
      <c r="K54" s="323"/>
      <c r="L54" s="323"/>
      <c r="M54" s="408"/>
      <c r="N54" s="408"/>
      <c r="O54" s="408"/>
      <c r="P54" s="408"/>
      <c r="Q54" s="408"/>
      <c r="R54" s="408"/>
      <c r="S54" s="408"/>
      <c r="T54" s="408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</row>
    <row r="55" spans="1:39" s="119" customFormat="1" ht="30" customHeight="1">
      <c r="A55" s="435">
        <f>NotaDeVenta[[#This Row],[Tema]]</f>
        <v>0</v>
      </c>
      <c r="B55" s="435">
        <f>NotaDeVenta[[#This Row],[Producto]]</f>
        <v>0</v>
      </c>
      <c r="C55" s="436">
        <f>NotaDeVenta[[#This Row],[Textil]]</f>
        <v>0</v>
      </c>
      <c r="D55" s="437">
        <f>NotaDeVenta[[#This Row],[Ancho]]</f>
        <v>0</v>
      </c>
      <c r="E55" s="437">
        <f>NotaDeVenta[[#This Row],[Alto]]</f>
        <v>0</v>
      </c>
      <c r="F55" s="438">
        <f>NotaDeVenta[[#This Row],[Cantidad]]</f>
        <v>0</v>
      </c>
      <c r="G55" s="437">
        <f>NotaDeVenta[[#This Row],[ML impresos]]</f>
        <v>0</v>
      </c>
      <c r="H55" s="403"/>
      <c r="I55" s="323"/>
      <c r="J55" s="323"/>
      <c r="K55" s="323"/>
      <c r="L55" s="323"/>
      <c r="M55" s="408"/>
      <c r="N55" s="408"/>
      <c r="O55" s="408"/>
      <c r="P55" s="408"/>
      <c r="Q55" s="408"/>
      <c r="R55" s="408"/>
      <c r="S55" s="408"/>
      <c r="T55" s="408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</row>
    <row r="56" spans="1:39" s="119" customFormat="1" ht="30" customHeight="1">
      <c r="A56" s="435">
        <f>NotaDeVenta[[#This Row],[Tema]]</f>
        <v>0</v>
      </c>
      <c r="B56" s="435">
        <f>NotaDeVenta[[#This Row],[Producto]]</f>
        <v>0</v>
      </c>
      <c r="C56" s="436">
        <f>NotaDeVenta[[#This Row],[Textil]]</f>
        <v>0</v>
      </c>
      <c r="D56" s="437">
        <f>NotaDeVenta[[#This Row],[Ancho]]</f>
        <v>0</v>
      </c>
      <c r="E56" s="437">
        <f>NotaDeVenta[[#This Row],[Alto]]</f>
        <v>0</v>
      </c>
      <c r="F56" s="438">
        <f>NotaDeVenta[[#This Row],[Cantidad]]</f>
        <v>0</v>
      </c>
      <c r="G56" s="437">
        <f>NotaDeVenta[[#This Row],[ML impresos]]</f>
        <v>0</v>
      </c>
      <c r="H56" s="403"/>
      <c r="I56" s="323"/>
      <c r="J56" s="323"/>
      <c r="K56" s="323"/>
      <c r="L56" s="323"/>
      <c r="M56" s="408"/>
      <c r="N56" s="408"/>
      <c r="O56" s="408"/>
      <c r="P56" s="408"/>
      <c r="Q56" s="408"/>
      <c r="R56" s="408"/>
      <c r="S56" s="408"/>
      <c r="T56" s="408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</row>
    <row r="57" spans="1:39" s="119" customFormat="1" ht="30" customHeight="1">
      <c r="A57" s="435">
        <f>NotaDeVenta[[#This Row],[Tema]]</f>
        <v>0</v>
      </c>
      <c r="B57" s="435">
        <f>NotaDeVenta[[#This Row],[Producto]]</f>
        <v>0</v>
      </c>
      <c r="C57" s="436">
        <f>NotaDeVenta[[#This Row],[Textil]]</f>
        <v>0</v>
      </c>
      <c r="D57" s="437">
        <f>NotaDeVenta[[#This Row],[Ancho]]</f>
        <v>0</v>
      </c>
      <c r="E57" s="437">
        <f>NotaDeVenta[[#This Row],[Alto]]</f>
        <v>0</v>
      </c>
      <c r="F57" s="438">
        <f>NotaDeVenta[[#This Row],[Cantidad]]</f>
        <v>0</v>
      </c>
      <c r="G57" s="437">
        <f>NotaDeVenta[[#This Row],[ML impresos]]</f>
        <v>0</v>
      </c>
      <c r="H57" s="403"/>
      <c r="I57" s="323"/>
      <c r="J57" s="323"/>
      <c r="K57" s="323"/>
      <c r="L57" s="323"/>
      <c r="M57" s="408"/>
      <c r="N57" s="408"/>
      <c r="O57" s="408"/>
      <c r="P57" s="408"/>
      <c r="Q57" s="408"/>
      <c r="R57" s="408"/>
      <c r="S57" s="408"/>
      <c r="T57" s="408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</row>
    <row r="58" spans="1:39" s="119" customFormat="1" ht="30" customHeight="1">
      <c r="A58" s="435">
        <f>NotaDeVenta[[#This Row],[Tema]]</f>
        <v>0</v>
      </c>
      <c r="B58" s="435">
        <f>NotaDeVenta[[#This Row],[Producto]]</f>
        <v>0</v>
      </c>
      <c r="C58" s="436">
        <f>NotaDeVenta[[#This Row],[Textil]]</f>
        <v>0</v>
      </c>
      <c r="D58" s="437">
        <f>NotaDeVenta[[#This Row],[Ancho]]</f>
        <v>0</v>
      </c>
      <c r="E58" s="437">
        <f>NotaDeVenta[[#This Row],[Alto]]</f>
        <v>0</v>
      </c>
      <c r="F58" s="438">
        <f>NotaDeVenta[[#This Row],[Cantidad]]</f>
        <v>0</v>
      </c>
      <c r="G58" s="437">
        <f>NotaDeVenta[[#This Row],[ML impresos]]</f>
        <v>0</v>
      </c>
      <c r="H58" s="403"/>
      <c r="I58" s="323"/>
      <c r="J58" s="323"/>
      <c r="K58" s="323"/>
      <c r="L58" s="323"/>
      <c r="M58" s="408"/>
      <c r="N58" s="408"/>
      <c r="O58" s="408"/>
      <c r="P58" s="408"/>
      <c r="Q58" s="408"/>
      <c r="R58" s="408"/>
      <c r="S58" s="408"/>
      <c r="T58" s="408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</row>
    <row r="59" spans="1:39" s="119" customFormat="1" ht="30" customHeight="1">
      <c r="A59" s="435">
        <f>NotaDeVenta[[#This Row],[Tema]]</f>
        <v>0</v>
      </c>
      <c r="B59" s="435">
        <f>NotaDeVenta[[#This Row],[Producto]]</f>
        <v>0</v>
      </c>
      <c r="C59" s="436">
        <f>NotaDeVenta[[#This Row],[Textil]]</f>
        <v>0</v>
      </c>
      <c r="D59" s="437">
        <f>NotaDeVenta[[#This Row],[Ancho]]</f>
        <v>0</v>
      </c>
      <c r="E59" s="437">
        <f>NotaDeVenta[[#This Row],[Alto]]</f>
        <v>0</v>
      </c>
      <c r="F59" s="438">
        <f>NotaDeVenta[[#This Row],[Cantidad]]</f>
        <v>0</v>
      </c>
      <c r="G59" s="437">
        <f>NotaDeVenta[[#This Row],[ML impresos]]</f>
        <v>0</v>
      </c>
      <c r="H59" s="403"/>
      <c r="I59" s="323"/>
      <c r="J59" s="323"/>
      <c r="K59" s="323"/>
      <c r="L59" s="323"/>
      <c r="M59" s="408"/>
      <c r="N59" s="408"/>
      <c r="O59" s="408"/>
      <c r="P59" s="408"/>
      <c r="Q59" s="408"/>
      <c r="R59" s="408"/>
      <c r="S59" s="408"/>
      <c r="T59" s="408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</row>
    <row r="60" spans="1:39" s="119" customFormat="1" ht="30" customHeight="1">
      <c r="A60" s="435">
        <f>NotaDeVenta[[#This Row],[Tema]]</f>
        <v>0</v>
      </c>
      <c r="B60" s="435">
        <f>NotaDeVenta[[#This Row],[Producto]]</f>
        <v>0</v>
      </c>
      <c r="C60" s="436">
        <f>NotaDeVenta[[#This Row],[Textil]]</f>
        <v>0</v>
      </c>
      <c r="D60" s="437">
        <f>NotaDeVenta[[#This Row],[Ancho]]</f>
        <v>0</v>
      </c>
      <c r="E60" s="437">
        <f>NotaDeVenta[[#This Row],[Alto]]</f>
        <v>0</v>
      </c>
      <c r="F60" s="438">
        <f>NotaDeVenta[[#This Row],[Cantidad]]</f>
        <v>0</v>
      </c>
      <c r="G60" s="437">
        <f>NotaDeVenta[[#This Row],[ML impresos]]</f>
        <v>0</v>
      </c>
      <c r="H60" s="403"/>
      <c r="I60" s="323"/>
      <c r="J60" s="323"/>
      <c r="K60" s="323"/>
      <c r="L60" s="323"/>
      <c r="M60" s="408"/>
      <c r="N60" s="408"/>
      <c r="O60" s="408"/>
      <c r="P60" s="408"/>
      <c r="Q60" s="408"/>
      <c r="R60" s="408"/>
      <c r="S60" s="408"/>
      <c r="T60" s="408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  <c r="AM60" s="120"/>
    </row>
    <row r="61" spans="1:39" s="119" customFormat="1" ht="30" customHeight="1">
      <c r="A61" s="435">
        <f>NotaDeVenta[[#This Row],[Tema]]</f>
        <v>0</v>
      </c>
      <c r="B61" s="435">
        <f>NotaDeVenta[[#This Row],[Producto]]</f>
        <v>0</v>
      </c>
      <c r="C61" s="436">
        <f>NotaDeVenta[[#This Row],[Textil]]</f>
        <v>0</v>
      </c>
      <c r="D61" s="437">
        <f>NotaDeVenta[[#This Row],[Ancho]]</f>
        <v>0</v>
      </c>
      <c r="E61" s="437">
        <f>NotaDeVenta[[#This Row],[Alto]]</f>
        <v>0</v>
      </c>
      <c r="F61" s="438">
        <f>NotaDeVenta[[#This Row],[Cantidad]]</f>
        <v>0</v>
      </c>
      <c r="G61" s="437">
        <f>NotaDeVenta[[#This Row],[ML impresos]]</f>
        <v>0</v>
      </c>
      <c r="H61" s="403"/>
      <c r="I61" s="323"/>
      <c r="J61" s="323"/>
      <c r="K61" s="323"/>
      <c r="L61" s="323"/>
      <c r="M61" s="408"/>
      <c r="N61" s="408"/>
      <c r="O61" s="408"/>
      <c r="P61" s="408"/>
      <c r="Q61" s="408"/>
      <c r="R61" s="408"/>
      <c r="S61" s="408"/>
      <c r="T61" s="408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</row>
    <row r="62" spans="1:39" s="119" customFormat="1" ht="30" customHeight="1">
      <c r="A62" s="435">
        <f>NotaDeVenta[[#This Row],[Tema]]</f>
        <v>0</v>
      </c>
      <c r="B62" s="435">
        <f>NotaDeVenta[[#This Row],[Producto]]</f>
        <v>0</v>
      </c>
      <c r="C62" s="436">
        <f>NotaDeVenta[[#This Row],[Textil]]</f>
        <v>0</v>
      </c>
      <c r="D62" s="437">
        <f>NotaDeVenta[[#This Row],[Ancho]]</f>
        <v>0</v>
      </c>
      <c r="E62" s="437">
        <f>NotaDeVenta[[#This Row],[Alto]]</f>
        <v>0</v>
      </c>
      <c r="F62" s="438">
        <f>NotaDeVenta[[#This Row],[Cantidad]]</f>
        <v>0</v>
      </c>
      <c r="G62" s="437">
        <f>NotaDeVenta[[#This Row],[ML impresos]]</f>
        <v>0</v>
      </c>
      <c r="H62" s="403"/>
      <c r="I62" s="323"/>
      <c r="J62" s="323"/>
      <c r="K62" s="323"/>
      <c r="L62" s="323"/>
      <c r="M62" s="408"/>
      <c r="N62" s="408"/>
      <c r="O62" s="408"/>
      <c r="P62" s="408"/>
      <c r="Q62" s="408"/>
      <c r="R62" s="408"/>
      <c r="S62" s="408"/>
      <c r="T62" s="408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0"/>
      <c r="AL62" s="120"/>
      <c r="AM62" s="120"/>
    </row>
    <row r="63" spans="1:39" s="119" customFormat="1" ht="30" customHeight="1">
      <c r="A63" s="435">
        <f>NotaDeVenta[[#This Row],[Tema]]</f>
        <v>0</v>
      </c>
      <c r="B63" s="435">
        <f>NotaDeVenta[[#This Row],[Producto]]</f>
        <v>0</v>
      </c>
      <c r="C63" s="436">
        <f>NotaDeVenta[[#This Row],[Textil]]</f>
        <v>0</v>
      </c>
      <c r="D63" s="437">
        <f>NotaDeVenta[[#This Row],[Ancho]]</f>
        <v>0</v>
      </c>
      <c r="E63" s="437">
        <f>NotaDeVenta[[#This Row],[Alto]]</f>
        <v>0</v>
      </c>
      <c r="F63" s="438">
        <f>NotaDeVenta[[#This Row],[Cantidad]]</f>
        <v>0</v>
      </c>
      <c r="G63" s="437">
        <f>NotaDeVenta[[#This Row],[ML impresos]]</f>
        <v>0</v>
      </c>
      <c r="H63" s="403"/>
      <c r="I63" s="323"/>
      <c r="J63" s="323"/>
      <c r="K63" s="323"/>
      <c r="L63" s="323"/>
      <c r="M63" s="408"/>
      <c r="N63" s="408"/>
      <c r="O63" s="408"/>
      <c r="P63" s="408"/>
      <c r="Q63" s="408"/>
      <c r="R63" s="408"/>
      <c r="S63" s="408"/>
      <c r="T63" s="408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</row>
    <row r="64" spans="1:39" s="119" customFormat="1" ht="30" customHeight="1">
      <c r="A64" s="435">
        <f>NotaDeVenta[[#This Row],[Tema]]</f>
        <v>0</v>
      </c>
      <c r="B64" s="435">
        <f>NotaDeVenta[[#This Row],[Producto]]</f>
        <v>0</v>
      </c>
      <c r="C64" s="436">
        <f>NotaDeVenta[[#This Row],[Textil]]</f>
        <v>0</v>
      </c>
      <c r="D64" s="437">
        <f>NotaDeVenta[[#This Row],[Ancho]]</f>
        <v>0</v>
      </c>
      <c r="E64" s="437">
        <f>NotaDeVenta[[#This Row],[Alto]]</f>
        <v>0</v>
      </c>
      <c r="F64" s="438">
        <f>NotaDeVenta[[#This Row],[Cantidad]]</f>
        <v>0</v>
      </c>
      <c r="G64" s="437">
        <f>NotaDeVenta[[#This Row],[ML impresos]]</f>
        <v>0</v>
      </c>
      <c r="H64" s="403"/>
      <c r="I64" s="323"/>
      <c r="J64" s="323"/>
      <c r="K64" s="323"/>
      <c r="L64" s="323"/>
      <c r="M64" s="408"/>
      <c r="N64" s="408"/>
      <c r="O64" s="408"/>
      <c r="P64" s="408"/>
      <c r="Q64" s="408"/>
      <c r="R64" s="408"/>
      <c r="S64" s="408"/>
      <c r="T64" s="408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0"/>
      <c r="AM64" s="120"/>
    </row>
    <row r="65" spans="1:39" s="119" customFormat="1" ht="30" customHeight="1">
      <c r="A65" s="435">
        <f>NotaDeVenta[[#This Row],[Tema]]</f>
        <v>0</v>
      </c>
      <c r="B65" s="435">
        <f>NotaDeVenta[[#This Row],[Producto]]</f>
        <v>0</v>
      </c>
      <c r="C65" s="436">
        <f>NotaDeVenta[[#This Row],[Textil]]</f>
        <v>0</v>
      </c>
      <c r="D65" s="437">
        <f>NotaDeVenta[[#This Row],[Ancho]]</f>
        <v>0</v>
      </c>
      <c r="E65" s="437">
        <f>NotaDeVenta[[#This Row],[Alto]]</f>
        <v>0</v>
      </c>
      <c r="F65" s="438">
        <f>NotaDeVenta[[#This Row],[Cantidad]]</f>
        <v>0</v>
      </c>
      <c r="G65" s="437">
        <f>NotaDeVenta[[#This Row],[ML impresos]]</f>
        <v>0</v>
      </c>
      <c r="H65" s="403"/>
      <c r="I65" s="323"/>
      <c r="J65" s="323"/>
      <c r="K65" s="323"/>
      <c r="L65" s="323"/>
      <c r="M65" s="408"/>
      <c r="N65" s="408"/>
      <c r="O65" s="408"/>
      <c r="P65" s="408"/>
      <c r="Q65" s="408"/>
      <c r="R65" s="408"/>
      <c r="S65" s="408"/>
      <c r="T65" s="408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</row>
    <row r="66" spans="1:39" s="119" customFormat="1" ht="30" customHeight="1">
      <c r="A66" s="435">
        <f>NotaDeVenta[[#This Row],[Tema]]</f>
        <v>0</v>
      </c>
      <c r="B66" s="435">
        <f>NotaDeVenta[[#This Row],[Producto]]</f>
        <v>0</v>
      </c>
      <c r="C66" s="436">
        <f>NotaDeVenta[[#This Row],[Textil]]</f>
        <v>0</v>
      </c>
      <c r="D66" s="437">
        <f>NotaDeVenta[[#This Row],[Ancho]]</f>
        <v>0</v>
      </c>
      <c r="E66" s="437">
        <f>NotaDeVenta[[#This Row],[Alto]]</f>
        <v>0</v>
      </c>
      <c r="F66" s="438">
        <f>NotaDeVenta[[#This Row],[Cantidad]]</f>
        <v>0</v>
      </c>
      <c r="G66" s="437">
        <f>NotaDeVenta[[#This Row],[ML impresos]]</f>
        <v>0</v>
      </c>
      <c r="H66" s="403"/>
      <c r="I66" s="323"/>
      <c r="J66" s="323"/>
      <c r="K66" s="323"/>
      <c r="L66" s="323"/>
      <c r="M66" s="408"/>
      <c r="N66" s="408"/>
      <c r="O66" s="408"/>
      <c r="P66" s="408"/>
      <c r="Q66" s="408"/>
      <c r="R66" s="408"/>
      <c r="S66" s="408"/>
      <c r="T66" s="408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0"/>
      <c r="AL66" s="120"/>
      <c r="AM66" s="120"/>
    </row>
    <row r="67" spans="1:39" s="119" customFormat="1" ht="30" customHeight="1">
      <c r="A67" s="435">
        <f>NotaDeVenta[[#This Row],[Tema]]</f>
        <v>0</v>
      </c>
      <c r="B67" s="435">
        <f>NotaDeVenta[[#This Row],[Producto]]</f>
        <v>0</v>
      </c>
      <c r="C67" s="436">
        <f>NotaDeVenta[[#This Row],[Textil]]</f>
        <v>0</v>
      </c>
      <c r="D67" s="437">
        <f>NotaDeVenta[[#This Row],[Ancho]]</f>
        <v>0</v>
      </c>
      <c r="E67" s="437">
        <f>NotaDeVenta[[#This Row],[Alto]]</f>
        <v>0</v>
      </c>
      <c r="F67" s="438">
        <f>NotaDeVenta[[#This Row],[Cantidad]]</f>
        <v>0</v>
      </c>
      <c r="G67" s="437">
        <f>NotaDeVenta[[#This Row],[ML impresos]]</f>
        <v>0</v>
      </c>
      <c r="H67" s="403"/>
      <c r="I67" s="323"/>
      <c r="J67" s="323"/>
      <c r="K67" s="323"/>
      <c r="L67" s="323"/>
      <c r="M67" s="408"/>
      <c r="N67" s="408"/>
      <c r="O67" s="408"/>
      <c r="P67" s="408"/>
      <c r="Q67" s="408"/>
      <c r="R67" s="408"/>
      <c r="S67" s="408"/>
      <c r="T67" s="408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  <c r="AK67" s="120"/>
      <c r="AL67" s="120"/>
      <c r="AM67" s="120"/>
    </row>
    <row r="68" spans="1:39" s="119" customFormat="1" ht="30" customHeight="1">
      <c r="A68" s="435">
        <f>NotaDeVenta[[#This Row],[Tema]]</f>
        <v>0</v>
      </c>
      <c r="B68" s="435">
        <f>NotaDeVenta[[#This Row],[Producto]]</f>
        <v>0</v>
      </c>
      <c r="C68" s="436">
        <f>NotaDeVenta[[#This Row],[Textil]]</f>
        <v>0</v>
      </c>
      <c r="D68" s="437">
        <f>NotaDeVenta[[#This Row],[Ancho]]</f>
        <v>0</v>
      </c>
      <c r="E68" s="437">
        <f>NotaDeVenta[[#This Row],[Alto]]</f>
        <v>0</v>
      </c>
      <c r="F68" s="438">
        <f>NotaDeVenta[[#This Row],[Cantidad]]</f>
        <v>0</v>
      </c>
      <c r="G68" s="437">
        <f>NotaDeVenta[[#This Row],[ML impresos]]</f>
        <v>0</v>
      </c>
      <c r="H68" s="403"/>
      <c r="I68" s="323"/>
      <c r="J68" s="323"/>
      <c r="K68" s="323"/>
      <c r="L68" s="323"/>
      <c r="M68" s="408"/>
      <c r="N68" s="408"/>
      <c r="O68" s="408"/>
      <c r="P68" s="408"/>
      <c r="Q68" s="408"/>
      <c r="R68" s="408"/>
      <c r="S68" s="408"/>
      <c r="T68" s="408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</row>
    <row r="69" spans="1:39" s="119" customFormat="1" ht="30" customHeight="1">
      <c r="A69" s="435">
        <f>NotaDeVenta[[#This Row],[Tema]]</f>
        <v>0</v>
      </c>
      <c r="B69" s="435">
        <f>NotaDeVenta[[#This Row],[Producto]]</f>
        <v>0</v>
      </c>
      <c r="C69" s="436">
        <f>NotaDeVenta[[#This Row],[Textil]]</f>
        <v>0</v>
      </c>
      <c r="D69" s="437">
        <f>NotaDeVenta[[#This Row],[Ancho]]</f>
        <v>0</v>
      </c>
      <c r="E69" s="437">
        <f>NotaDeVenta[[#This Row],[Alto]]</f>
        <v>0</v>
      </c>
      <c r="F69" s="438">
        <f>NotaDeVenta[[#This Row],[Cantidad]]</f>
        <v>0</v>
      </c>
      <c r="G69" s="437">
        <f>NotaDeVenta[[#This Row],[ML impresos]]</f>
        <v>0</v>
      </c>
      <c r="H69" s="403"/>
      <c r="I69" s="323"/>
      <c r="J69" s="323"/>
      <c r="K69" s="323"/>
      <c r="L69" s="323"/>
      <c r="M69" s="408"/>
      <c r="N69" s="408"/>
      <c r="O69" s="408"/>
      <c r="P69" s="408"/>
      <c r="Q69" s="408"/>
      <c r="R69" s="408"/>
      <c r="S69" s="408"/>
      <c r="T69" s="408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</row>
    <row r="70" spans="1:39" s="119" customFormat="1" ht="30" customHeight="1">
      <c r="A70" s="435">
        <f>NotaDeVenta[[#This Row],[Tema]]</f>
        <v>0</v>
      </c>
      <c r="B70" s="435">
        <f>NotaDeVenta[[#This Row],[Producto]]</f>
        <v>0</v>
      </c>
      <c r="C70" s="436">
        <f>NotaDeVenta[[#This Row],[Textil]]</f>
        <v>0</v>
      </c>
      <c r="D70" s="437">
        <f>NotaDeVenta[[#This Row],[Ancho]]</f>
        <v>0</v>
      </c>
      <c r="E70" s="437">
        <f>NotaDeVenta[[#This Row],[Alto]]</f>
        <v>0</v>
      </c>
      <c r="F70" s="438">
        <f>NotaDeVenta[[#This Row],[Cantidad]]</f>
        <v>0</v>
      </c>
      <c r="G70" s="437">
        <f>NotaDeVenta[[#This Row],[ML impresos]]</f>
        <v>0</v>
      </c>
      <c r="H70" s="403"/>
      <c r="I70" s="323"/>
      <c r="J70" s="323"/>
      <c r="K70" s="323"/>
      <c r="L70" s="323"/>
      <c r="M70" s="408"/>
      <c r="N70" s="408"/>
      <c r="O70" s="408"/>
      <c r="P70" s="408"/>
      <c r="Q70" s="408"/>
      <c r="R70" s="408"/>
      <c r="S70" s="408"/>
      <c r="T70" s="408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0"/>
      <c r="AL70" s="120"/>
      <c r="AM70" s="120"/>
    </row>
    <row r="71" spans="1:39" s="119" customFormat="1" ht="30" customHeight="1">
      <c r="A71" s="435">
        <f>NotaDeVenta[[#This Row],[Tema]]</f>
        <v>0</v>
      </c>
      <c r="B71" s="435">
        <f>NotaDeVenta[[#This Row],[Producto]]</f>
        <v>0</v>
      </c>
      <c r="C71" s="436">
        <f>NotaDeVenta[[#This Row],[Textil]]</f>
        <v>0</v>
      </c>
      <c r="D71" s="437">
        <f>NotaDeVenta[[#This Row],[Ancho]]</f>
        <v>0</v>
      </c>
      <c r="E71" s="437">
        <f>NotaDeVenta[[#This Row],[Alto]]</f>
        <v>0</v>
      </c>
      <c r="F71" s="438">
        <f>NotaDeVenta[[#This Row],[Cantidad]]</f>
        <v>0</v>
      </c>
      <c r="G71" s="437">
        <f>NotaDeVenta[[#This Row],[ML impresos]]</f>
        <v>0</v>
      </c>
      <c r="H71" s="403"/>
      <c r="I71" s="323"/>
      <c r="J71" s="323"/>
      <c r="K71" s="323"/>
      <c r="L71" s="323"/>
      <c r="M71" s="408"/>
      <c r="N71" s="408"/>
      <c r="O71" s="408"/>
      <c r="P71" s="408"/>
      <c r="Q71" s="408"/>
      <c r="R71" s="408"/>
      <c r="S71" s="408"/>
      <c r="T71" s="408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</row>
    <row r="72" spans="1:39" s="119" customFormat="1" ht="30" customHeight="1">
      <c r="A72" s="435">
        <f>NotaDeVenta[[#This Row],[Tema]]</f>
        <v>0</v>
      </c>
      <c r="B72" s="435">
        <f>NotaDeVenta[[#This Row],[Producto]]</f>
        <v>0</v>
      </c>
      <c r="C72" s="436">
        <f>NotaDeVenta[[#This Row],[Textil]]</f>
        <v>0</v>
      </c>
      <c r="D72" s="437">
        <f>NotaDeVenta[[#This Row],[Ancho]]</f>
        <v>0</v>
      </c>
      <c r="E72" s="437">
        <f>NotaDeVenta[[#This Row],[Alto]]</f>
        <v>0</v>
      </c>
      <c r="F72" s="438">
        <f>NotaDeVenta[[#This Row],[Cantidad]]</f>
        <v>0</v>
      </c>
      <c r="G72" s="437">
        <f>NotaDeVenta[[#This Row],[ML impresos]]</f>
        <v>0</v>
      </c>
      <c r="H72" s="403"/>
      <c r="I72" s="323"/>
      <c r="J72" s="323"/>
      <c r="K72" s="323"/>
      <c r="L72" s="323"/>
      <c r="M72" s="408"/>
      <c r="N72" s="408"/>
      <c r="O72" s="408"/>
      <c r="P72" s="408"/>
      <c r="Q72" s="408"/>
      <c r="R72" s="408"/>
      <c r="S72" s="408"/>
      <c r="T72" s="408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</row>
    <row r="73" spans="1:39" s="119" customFormat="1" ht="30" customHeight="1">
      <c r="A73" s="435">
        <f>NotaDeVenta[[#This Row],[Tema]]</f>
        <v>0</v>
      </c>
      <c r="B73" s="435">
        <f>NotaDeVenta[[#This Row],[Producto]]</f>
        <v>0</v>
      </c>
      <c r="C73" s="436">
        <f>NotaDeVenta[[#This Row],[Textil]]</f>
        <v>0</v>
      </c>
      <c r="D73" s="437">
        <f>NotaDeVenta[[#This Row],[Ancho]]</f>
        <v>0</v>
      </c>
      <c r="E73" s="437">
        <f>NotaDeVenta[[#This Row],[Alto]]</f>
        <v>0</v>
      </c>
      <c r="F73" s="438">
        <f>NotaDeVenta[[#This Row],[Cantidad]]</f>
        <v>0</v>
      </c>
      <c r="G73" s="437">
        <f>NotaDeVenta[[#This Row],[ML impresos]]</f>
        <v>0</v>
      </c>
      <c r="H73" s="403"/>
      <c r="I73" s="323"/>
      <c r="J73" s="323"/>
      <c r="K73" s="323"/>
      <c r="L73" s="323"/>
      <c r="M73" s="408"/>
      <c r="N73" s="408"/>
      <c r="O73" s="408"/>
      <c r="P73" s="408"/>
      <c r="Q73" s="408"/>
      <c r="R73" s="408"/>
      <c r="S73" s="408"/>
      <c r="T73" s="408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  <c r="AK73" s="120"/>
      <c r="AL73" s="120"/>
      <c r="AM73" s="120"/>
    </row>
    <row r="74" spans="1:39" s="119" customFormat="1" ht="30" customHeight="1">
      <c r="A74" s="435">
        <f>NotaDeVenta[[#This Row],[Tema]]</f>
        <v>0</v>
      </c>
      <c r="B74" s="435">
        <f>NotaDeVenta[[#This Row],[Producto]]</f>
        <v>0</v>
      </c>
      <c r="C74" s="436">
        <f>NotaDeVenta[[#This Row],[Textil]]</f>
        <v>0</v>
      </c>
      <c r="D74" s="437">
        <f>NotaDeVenta[[#This Row],[Ancho]]</f>
        <v>0</v>
      </c>
      <c r="E74" s="437">
        <f>NotaDeVenta[[#This Row],[Alto]]</f>
        <v>0</v>
      </c>
      <c r="F74" s="438">
        <f>NotaDeVenta[[#This Row],[Cantidad]]</f>
        <v>0</v>
      </c>
      <c r="G74" s="437">
        <f>NotaDeVenta[[#This Row],[ML impresos]]</f>
        <v>0</v>
      </c>
      <c r="H74" s="403"/>
      <c r="I74" s="323"/>
      <c r="J74" s="323"/>
      <c r="K74" s="323"/>
      <c r="L74" s="323"/>
      <c r="M74" s="408"/>
      <c r="N74" s="408"/>
      <c r="O74" s="408"/>
      <c r="P74" s="408"/>
      <c r="Q74" s="408"/>
      <c r="R74" s="408"/>
      <c r="S74" s="408"/>
      <c r="T74" s="408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</row>
    <row r="75" spans="1:39" s="119" customFormat="1" ht="30" customHeight="1">
      <c r="A75" s="435">
        <f>NotaDeVenta[[#This Row],[Tema]]</f>
        <v>0</v>
      </c>
      <c r="B75" s="435">
        <f>NotaDeVenta[[#This Row],[Producto]]</f>
        <v>0</v>
      </c>
      <c r="C75" s="436">
        <f>NotaDeVenta[[#This Row],[Textil]]</f>
        <v>0</v>
      </c>
      <c r="D75" s="437">
        <f>NotaDeVenta[[#This Row],[Ancho]]</f>
        <v>0</v>
      </c>
      <c r="E75" s="437">
        <f>NotaDeVenta[[#This Row],[Alto]]</f>
        <v>0</v>
      </c>
      <c r="F75" s="438">
        <f>NotaDeVenta[[#This Row],[Cantidad]]</f>
        <v>0</v>
      </c>
      <c r="G75" s="437">
        <f>NotaDeVenta[[#This Row],[ML impresos]]</f>
        <v>0</v>
      </c>
      <c r="H75" s="403"/>
      <c r="I75" s="323"/>
      <c r="J75" s="323"/>
      <c r="K75" s="323"/>
      <c r="L75" s="323"/>
      <c r="M75" s="408"/>
      <c r="N75" s="408"/>
      <c r="O75" s="408"/>
      <c r="P75" s="408"/>
      <c r="Q75" s="408"/>
      <c r="R75" s="408"/>
      <c r="S75" s="408"/>
      <c r="T75" s="408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20"/>
    </row>
    <row r="76" spans="1:39" s="119" customFormat="1" ht="30" customHeight="1">
      <c r="A76" s="435">
        <f>NotaDeVenta[[#This Row],[Tema]]</f>
        <v>0</v>
      </c>
      <c r="B76" s="435">
        <f>NotaDeVenta[[#This Row],[Producto]]</f>
        <v>0</v>
      </c>
      <c r="C76" s="436">
        <f>NotaDeVenta[[#This Row],[Textil]]</f>
        <v>0</v>
      </c>
      <c r="D76" s="437">
        <f>NotaDeVenta[[#This Row],[Ancho]]</f>
        <v>0</v>
      </c>
      <c r="E76" s="437">
        <f>NotaDeVenta[[#This Row],[Alto]]</f>
        <v>0</v>
      </c>
      <c r="F76" s="438">
        <f>NotaDeVenta[[#This Row],[Cantidad]]</f>
        <v>0</v>
      </c>
      <c r="G76" s="437">
        <f>NotaDeVenta[[#This Row],[ML impresos]]</f>
        <v>0</v>
      </c>
      <c r="H76" s="403"/>
      <c r="I76" s="323"/>
      <c r="J76" s="323"/>
      <c r="K76" s="323"/>
      <c r="L76" s="323"/>
      <c r="M76" s="408"/>
      <c r="N76" s="408"/>
      <c r="O76" s="408"/>
      <c r="P76" s="408"/>
      <c r="Q76" s="408"/>
      <c r="R76" s="408"/>
      <c r="S76" s="408"/>
      <c r="T76" s="408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120"/>
      <c r="AH76" s="120"/>
      <c r="AI76" s="120"/>
      <c r="AJ76" s="120"/>
      <c r="AK76" s="120"/>
      <c r="AL76" s="120"/>
      <c r="AM76" s="120"/>
    </row>
    <row r="77" spans="1:39" s="119" customFormat="1" ht="30" customHeight="1">
      <c r="A77" s="435">
        <f>NotaDeVenta[[#This Row],[Tema]]</f>
        <v>0</v>
      </c>
      <c r="B77" s="435">
        <f>NotaDeVenta[[#This Row],[Producto]]</f>
        <v>0</v>
      </c>
      <c r="C77" s="436">
        <f>NotaDeVenta[[#This Row],[Textil]]</f>
        <v>0</v>
      </c>
      <c r="D77" s="437">
        <f>NotaDeVenta[[#This Row],[Ancho]]</f>
        <v>0</v>
      </c>
      <c r="E77" s="437">
        <f>NotaDeVenta[[#This Row],[Alto]]</f>
        <v>0</v>
      </c>
      <c r="F77" s="438">
        <f>NotaDeVenta[[#This Row],[Cantidad]]</f>
        <v>0</v>
      </c>
      <c r="G77" s="437">
        <f>NotaDeVenta[[#This Row],[ML impresos]]</f>
        <v>0</v>
      </c>
      <c r="H77" s="403"/>
      <c r="I77" s="323"/>
      <c r="J77" s="323"/>
      <c r="K77" s="323"/>
      <c r="L77" s="323"/>
      <c r="M77" s="408"/>
      <c r="N77" s="408"/>
      <c r="O77" s="408"/>
      <c r="P77" s="408"/>
      <c r="Q77" s="408"/>
      <c r="R77" s="408"/>
      <c r="S77" s="408"/>
      <c r="T77" s="408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0"/>
      <c r="AI77" s="120"/>
      <c r="AJ77" s="120"/>
      <c r="AK77" s="120"/>
      <c r="AL77" s="120"/>
      <c r="AM77" s="120"/>
    </row>
    <row r="78" spans="1:39" s="119" customFormat="1" ht="30" customHeight="1">
      <c r="A78" s="435">
        <f>NotaDeVenta[[#This Row],[Tema]]</f>
        <v>0</v>
      </c>
      <c r="B78" s="435">
        <f>NotaDeVenta[[#This Row],[Producto]]</f>
        <v>0</v>
      </c>
      <c r="C78" s="436">
        <f>NotaDeVenta[[#This Row],[Textil]]</f>
        <v>0</v>
      </c>
      <c r="D78" s="437">
        <f>NotaDeVenta[[#This Row],[Ancho]]</f>
        <v>0</v>
      </c>
      <c r="E78" s="437">
        <f>NotaDeVenta[[#This Row],[Alto]]</f>
        <v>0</v>
      </c>
      <c r="F78" s="438">
        <f>NotaDeVenta[[#This Row],[Cantidad]]</f>
        <v>0</v>
      </c>
      <c r="G78" s="437">
        <f>NotaDeVenta[[#This Row],[ML impresos]]</f>
        <v>0</v>
      </c>
      <c r="H78" s="403"/>
      <c r="I78" s="323"/>
      <c r="J78" s="323"/>
      <c r="K78" s="323"/>
      <c r="L78" s="323"/>
      <c r="M78" s="408"/>
      <c r="N78" s="408"/>
      <c r="O78" s="408"/>
      <c r="P78" s="408"/>
      <c r="Q78" s="408"/>
      <c r="R78" s="408"/>
      <c r="S78" s="408"/>
      <c r="T78" s="408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</row>
    <row r="79" spans="1:39" s="119" customFormat="1" ht="30" customHeight="1">
      <c r="A79" s="435">
        <f>NotaDeVenta[[#This Row],[Tema]]</f>
        <v>0</v>
      </c>
      <c r="B79" s="435">
        <f>NotaDeVenta[[#This Row],[Producto]]</f>
        <v>0</v>
      </c>
      <c r="C79" s="436">
        <f>NotaDeVenta[[#This Row],[Textil]]</f>
        <v>0</v>
      </c>
      <c r="D79" s="437">
        <f>NotaDeVenta[[#This Row],[Ancho]]</f>
        <v>0</v>
      </c>
      <c r="E79" s="437">
        <f>NotaDeVenta[[#This Row],[Alto]]</f>
        <v>0</v>
      </c>
      <c r="F79" s="438">
        <f>NotaDeVenta[[#This Row],[Cantidad]]</f>
        <v>0</v>
      </c>
      <c r="G79" s="437">
        <f>NotaDeVenta[[#This Row],[ML impresos]]</f>
        <v>0</v>
      </c>
      <c r="H79" s="403"/>
      <c r="I79" s="323"/>
      <c r="J79" s="323"/>
      <c r="K79" s="323"/>
      <c r="L79" s="323"/>
      <c r="M79" s="408"/>
      <c r="N79" s="408"/>
      <c r="O79" s="408"/>
      <c r="P79" s="408"/>
      <c r="Q79" s="408"/>
      <c r="R79" s="408"/>
      <c r="S79" s="408"/>
      <c r="T79" s="408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  <c r="AM79" s="120"/>
    </row>
    <row r="80" spans="1:39" s="119" customFormat="1" ht="30" customHeight="1">
      <c r="A80" s="435">
        <f>NotaDeVenta[[#This Row],[Tema]]</f>
        <v>0</v>
      </c>
      <c r="B80" s="435">
        <f>NotaDeVenta[[#This Row],[Producto]]</f>
        <v>0</v>
      </c>
      <c r="C80" s="436">
        <f>NotaDeVenta[[#This Row],[Textil]]</f>
        <v>0</v>
      </c>
      <c r="D80" s="437">
        <f>NotaDeVenta[[#This Row],[Ancho]]</f>
        <v>0</v>
      </c>
      <c r="E80" s="437">
        <f>NotaDeVenta[[#This Row],[Alto]]</f>
        <v>0</v>
      </c>
      <c r="F80" s="438">
        <f>NotaDeVenta[[#This Row],[Cantidad]]</f>
        <v>0</v>
      </c>
      <c r="G80" s="437">
        <f>NotaDeVenta[[#This Row],[ML impresos]]</f>
        <v>0</v>
      </c>
      <c r="H80" s="403"/>
      <c r="I80" s="323"/>
      <c r="J80" s="323"/>
      <c r="K80" s="323"/>
      <c r="L80" s="323"/>
      <c r="M80" s="408"/>
      <c r="N80" s="408"/>
      <c r="O80" s="408"/>
      <c r="P80" s="408"/>
      <c r="Q80" s="408"/>
      <c r="R80" s="408"/>
      <c r="S80" s="408"/>
      <c r="T80" s="408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120"/>
      <c r="AH80" s="120"/>
      <c r="AI80" s="120"/>
      <c r="AJ80" s="120"/>
      <c r="AK80" s="120"/>
      <c r="AL80" s="120"/>
      <c r="AM80" s="120"/>
    </row>
    <row r="81" spans="1:39" s="119" customFormat="1" ht="30" customHeight="1">
      <c r="A81" s="435">
        <f>NotaDeVenta[[#This Row],[Tema]]</f>
        <v>0</v>
      </c>
      <c r="B81" s="435">
        <f>NotaDeVenta[[#This Row],[Producto]]</f>
        <v>0</v>
      </c>
      <c r="C81" s="436">
        <f>NotaDeVenta[[#This Row],[Textil]]</f>
        <v>0</v>
      </c>
      <c r="D81" s="437">
        <f>NotaDeVenta[[#This Row],[Ancho]]</f>
        <v>0</v>
      </c>
      <c r="E81" s="437">
        <f>NotaDeVenta[[#This Row],[Alto]]</f>
        <v>0</v>
      </c>
      <c r="F81" s="438">
        <f>NotaDeVenta[[#This Row],[Cantidad]]</f>
        <v>0</v>
      </c>
      <c r="G81" s="437">
        <f>NotaDeVenta[[#This Row],[ML impresos]]</f>
        <v>0</v>
      </c>
      <c r="H81" s="403"/>
      <c r="I81" s="323"/>
      <c r="J81" s="323"/>
      <c r="K81" s="323"/>
      <c r="L81" s="323"/>
      <c r="M81" s="408"/>
      <c r="N81" s="408"/>
      <c r="O81" s="408"/>
      <c r="P81" s="408"/>
      <c r="Q81" s="408"/>
      <c r="R81" s="408"/>
      <c r="S81" s="408"/>
      <c r="T81" s="408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</row>
    <row r="82" spans="1:39" s="119" customFormat="1" ht="30" customHeight="1">
      <c r="A82" s="435">
        <f>NotaDeVenta[[#This Row],[Tema]]</f>
        <v>0</v>
      </c>
      <c r="B82" s="435">
        <f>NotaDeVenta[[#This Row],[Producto]]</f>
        <v>0</v>
      </c>
      <c r="C82" s="436">
        <f>NotaDeVenta[[#This Row],[Textil]]</f>
        <v>0</v>
      </c>
      <c r="D82" s="437">
        <f>NotaDeVenta[[#This Row],[Ancho]]</f>
        <v>0</v>
      </c>
      <c r="E82" s="437">
        <f>NotaDeVenta[[#This Row],[Alto]]</f>
        <v>0</v>
      </c>
      <c r="F82" s="438">
        <f>NotaDeVenta[[#This Row],[Cantidad]]</f>
        <v>0</v>
      </c>
      <c r="G82" s="437">
        <f>NotaDeVenta[[#This Row],[ML impresos]]</f>
        <v>0</v>
      </c>
      <c r="H82" s="403"/>
      <c r="I82" s="323"/>
      <c r="J82" s="323"/>
      <c r="K82" s="323"/>
      <c r="L82" s="323"/>
      <c r="M82" s="408"/>
      <c r="N82" s="408"/>
      <c r="O82" s="408"/>
      <c r="P82" s="408"/>
      <c r="Q82" s="408"/>
      <c r="R82" s="408"/>
      <c r="S82" s="408"/>
      <c r="T82" s="408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G82" s="120"/>
      <c r="AH82" s="120"/>
      <c r="AI82" s="120"/>
      <c r="AJ82" s="120"/>
      <c r="AK82" s="120"/>
      <c r="AL82" s="120"/>
      <c r="AM82" s="120"/>
    </row>
    <row r="83" spans="1:39" s="119" customFormat="1" ht="30" customHeight="1">
      <c r="A83" s="435">
        <f>NotaDeVenta[[#This Row],[Tema]]</f>
        <v>0</v>
      </c>
      <c r="B83" s="435">
        <f>NotaDeVenta[[#This Row],[Producto]]</f>
        <v>0</v>
      </c>
      <c r="C83" s="436">
        <f>NotaDeVenta[[#This Row],[Textil]]</f>
        <v>0</v>
      </c>
      <c r="D83" s="437">
        <f>NotaDeVenta[[#This Row],[Ancho]]</f>
        <v>0</v>
      </c>
      <c r="E83" s="437">
        <f>NotaDeVenta[[#This Row],[Alto]]</f>
        <v>0</v>
      </c>
      <c r="F83" s="438">
        <f>NotaDeVenta[[#This Row],[Cantidad]]</f>
        <v>0</v>
      </c>
      <c r="G83" s="437">
        <f>NotaDeVenta[[#This Row],[ML impresos]]</f>
        <v>0</v>
      </c>
      <c r="H83" s="403"/>
      <c r="I83" s="323"/>
      <c r="J83" s="323"/>
      <c r="K83" s="323"/>
      <c r="L83" s="323"/>
      <c r="M83" s="408"/>
      <c r="N83" s="408"/>
      <c r="O83" s="408"/>
      <c r="P83" s="408"/>
      <c r="Q83" s="408"/>
      <c r="R83" s="408"/>
      <c r="S83" s="408"/>
      <c r="T83" s="408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</row>
    <row r="84" spans="1:39" s="119" customFormat="1" ht="30" customHeight="1">
      <c r="A84" s="435">
        <f>NotaDeVenta[[#This Row],[Tema]]</f>
        <v>0</v>
      </c>
      <c r="B84" s="435">
        <f>NotaDeVenta[[#This Row],[Producto]]</f>
        <v>0</v>
      </c>
      <c r="C84" s="436">
        <f>NotaDeVenta[[#This Row],[Textil]]</f>
        <v>0</v>
      </c>
      <c r="D84" s="437">
        <f>NotaDeVenta[[#This Row],[Ancho]]</f>
        <v>0</v>
      </c>
      <c r="E84" s="437">
        <f>NotaDeVenta[[#This Row],[Alto]]</f>
        <v>0</v>
      </c>
      <c r="F84" s="438">
        <f>NotaDeVenta[[#This Row],[Cantidad]]</f>
        <v>0</v>
      </c>
      <c r="G84" s="437">
        <f>NotaDeVenta[[#This Row],[ML impresos]]</f>
        <v>0</v>
      </c>
      <c r="H84" s="403"/>
      <c r="I84" s="323"/>
      <c r="J84" s="323"/>
      <c r="K84" s="323"/>
      <c r="L84" s="323"/>
      <c r="M84" s="408"/>
      <c r="N84" s="408"/>
      <c r="O84" s="408"/>
      <c r="P84" s="408"/>
      <c r="Q84" s="408"/>
      <c r="R84" s="408"/>
      <c r="S84" s="408"/>
      <c r="T84" s="408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</row>
    <row r="85" spans="1:39" s="119" customFormat="1" ht="30" customHeight="1">
      <c r="A85" s="435">
        <f>NotaDeVenta[[#This Row],[Tema]]</f>
        <v>0</v>
      </c>
      <c r="B85" s="435">
        <f>NotaDeVenta[[#This Row],[Producto]]</f>
        <v>0</v>
      </c>
      <c r="C85" s="436">
        <f>NotaDeVenta[[#This Row],[Textil]]</f>
        <v>0</v>
      </c>
      <c r="D85" s="437">
        <f>NotaDeVenta[[#This Row],[Ancho]]</f>
        <v>0</v>
      </c>
      <c r="E85" s="437">
        <f>NotaDeVenta[[#This Row],[Alto]]</f>
        <v>0</v>
      </c>
      <c r="F85" s="438">
        <f>NotaDeVenta[[#This Row],[Cantidad]]</f>
        <v>0</v>
      </c>
      <c r="G85" s="437">
        <f>NotaDeVenta[[#This Row],[ML impresos]]</f>
        <v>0</v>
      </c>
      <c r="H85" s="403"/>
      <c r="I85" s="323"/>
      <c r="J85" s="323"/>
      <c r="K85" s="323"/>
      <c r="L85" s="323"/>
      <c r="M85" s="408"/>
      <c r="N85" s="408"/>
      <c r="O85" s="408"/>
      <c r="P85" s="408"/>
      <c r="Q85" s="408"/>
      <c r="R85" s="408"/>
      <c r="S85" s="408"/>
      <c r="T85" s="408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120"/>
      <c r="AH85" s="120"/>
      <c r="AI85" s="120"/>
      <c r="AJ85" s="120"/>
      <c r="AK85" s="120"/>
      <c r="AL85" s="120"/>
      <c r="AM85" s="120"/>
    </row>
    <row r="86" spans="1:39" s="119" customFormat="1" ht="30" customHeight="1">
      <c r="A86" s="435">
        <f>NotaDeVenta[[#This Row],[Tema]]</f>
        <v>0</v>
      </c>
      <c r="B86" s="435">
        <f>NotaDeVenta[[#This Row],[Producto]]</f>
        <v>0</v>
      </c>
      <c r="C86" s="436">
        <f>NotaDeVenta[[#This Row],[Textil]]</f>
        <v>0</v>
      </c>
      <c r="D86" s="437">
        <f>NotaDeVenta[[#This Row],[Ancho]]</f>
        <v>0</v>
      </c>
      <c r="E86" s="437">
        <f>NotaDeVenta[[#This Row],[Alto]]</f>
        <v>0</v>
      </c>
      <c r="F86" s="438">
        <f>NotaDeVenta[[#This Row],[Cantidad]]</f>
        <v>0</v>
      </c>
      <c r="G86" s="437">
        <f>NotaDeVenta[[#This Row],[ML impresos]]</f>
        <v>0</v>
      </c>
      <c r="H86" s="403"/>
      <c r="I86" s="323"/>
      <c r="J86" s="323"/>
      <c r="K86" s="323"/>
      <c r="L86" s="323"/>
      <c r="M86" s="408"/>
      <c r="N86" s="408"/>
      <c r="O86" s="408"/>
      <c r="P86" s="408"/>
      <c r="Q86" s="408"/>
      <c r="R86" s="408"/>
      <c r="S86" s="408"/>
      <c r="T86" s="408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</row>
    <row r="87" spans="1:39" s="119" customFormat="1" ht="30" customHeight="1">
      <c r="A87" s="435">
        <f>NotaDeVenta[[#This Row],[Tema]]</f>
        <v>0</v>
      </c>
      <c r="B87" s="435">
        <f>NotaDeVenta[[#This Row],[Producto]]</f>
        <v>0</v>
      </c>
      <c r="C87" s="436">
        <f>NotaDeVenta[[#This Row],[Textil]]</f>
        <v>0</v>
      </c>
      <c r="D87" s="437">
        <f>NotaDeVenta[[#This Row],[Ancho]]</f>
        <v>0</v>
      </c>
      <c r="E87" s="437">
        <f>NotaDeVenta[[#This Row],[Alto]]</f>
        <v>0</v>
      </c>
      <c r="F87" s="438">
        <f>NotaDeVenta[[#This Row],[Cantidad]]</f>
        <v>0</v>
      </c>
      <c r="G87" s="437">
        <f>NotaDeVenta[[#This Row],[ML impresos]]</f>
        <v>0</v>
      </c>
      <c r="H87" s="403"/>
      <c r="I87" s="323"/>
      <c r="J87" s="323"/>
      <c r="K87" s="323"/>
      <c r="L87" s="323"/>
      <c r="M87" s="408"/>
      <c r="N87" s="408"/>
      <c r="O87" s="408"/>
      <c r="P87" s="408"/>
      <c r="Q87" s="408"/>
      <c r="R87" s="408"/>
      <c r="S87" s="408"/>
      <c r="T87" s="408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  <c r="AG87" s="120"/>
      <c r="AH87" s="120"/>
      <c r="AI87" s="120"/>
      <c r="AJ87" s="120"/>
      <c r="AK87" s="120"/>
      <c r="AL87" s="120"/>
      <c r="AM87" s="120"/>
    </row>
    <row r="88" spans="1:39" s="119" customFormat="1" ht="30" customHeight="1">
      <c r="A88" s="435">
        <f>NotaDeVenta[[#This Row],[Tema]]</f>
        <v>0</v>
      </c>
      <c r="B88" s="435">
        <f>NotaDeVenta[[#This Row],[Producto]]</f>
        <v>0</v>
      </c>
      <c r="C88" s="436">
        <f>NotaDeVenta[[#This Row],[Textil]]</f>
        <v>0</v>
      </c>
      <c r="D88" s="437">
        <f>NotaDeVenta[[#This Row],[Ancho]]</f>
        <v>0</v>
      </c>
      <c r="E88" s="437">
        <f>NotaDeVenta[[#This Row],[Alto]]</f>
        <v>0</v>
      </c>
      <c r="F88" s="438">
        <f>NotaDeVenta[[#This Row],[Cantidad]]</f>
        <v>0</v>
      </c>
      <c r="G88" s="437">
        <f>NotaDeVenta[[#This Row],[ML impresos]]</f>
        <v>0</v>
      </c>
      <c r="H88" s="403"/>
      <c r="I88" s="323"/>
      <c r="J88" s="323"/>
      <c r="K88" s="323"/>
      <c r="L88" s="323"/>
      <c r="M88" s="408"/>
      <c r="N88" s="408"/>
      <c r="O88" s="408"/>
      <c r="P88" s="408"/>
      <c r="Q88" s="408"/>
      <c r="R88" s="408"/>
      <c r="S88" s="408"/>
      <c r="T88" s="408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120"/>
      <c r="AH88" s="120"/>
      <c r="AI88" s="120"/>
      <c r="AJ88" s="120"/>
      <c r="AK88" s="120"/>
      <c r="AL88" s="120"/>
      <c r="AM88" s="120"/>
    </row>
    <row r="89" spans="1:39" s="119" customFormat="1" ht="30" customHeight="1">
      <c r="A89" s="435">
        <f>NotaDeVenta[[#This Row],[Tema]]</f>
        <v>0</v>
      </c>
      <c r="B89" s="435">
        <f>NotaDeVenta[[#This Row],[Producto]]</f>
        <v>0</v>
      </c>
      <c r="C89" s="436">
        <f>NotaDeVenta[[#This Row],[Textil]]</f>
        <v>0</v>
      </c>
      <c r="D89" s="437">
        <f>NotaDeVenta[[#This Row],[Ancho]]</f>
        <v>0</v>
      </c>
      <c r="E89" s="437">
        <f>NotaDeVenta[[#This Row],[Alto]]</f>
        <v>0</v>
      </c>
      <c r="F89" s="438">
        <f>NotaDeVenta[[#This Row],[Cantidad]]</f>
        <v>0</v>
      </c>
      <c r="G89" s="437">
        <f>NotaDeVenta[[#This Row],[ML impresos]]</f>
        <v>0</v>
      </c>
      <c r="H89" s="403"/>
      <c r="I89" s="323"/>
      <c r="J89" s="323"/>
      <c r="K89" s="323"/>
      <c r="L89" s="323"/>
      <c r="M89" s="408"/>
      <c r="N89" s="408"/>
      <c r="O89" s="408"/>
      <c r="P89" s="408"/>
      <c r="Q89" s="408"/>
      <c r="R89" s="408"/>
      <c r="S89" s="408"/>
      <c r="T89" s="408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</row>
    <row r="90" spans="1:39" s="119" customFormat="1" ht="30" customHeight="1">
      <c r="A90" s="435">
        <f>NotaDeVenta[[#This Row],[Tema]]</f>
        <v>0</v>
      </c>
      <c r="B90" s="435">
        <f>NotaDeVenta[[#This Row],[Producto]]</f>
        <v>0</v>
      </c>
      <c r="C90" s="436">
        <f>NotaDeVenta[[#This Row],[Textil]]</f>
        <v>0</v>
      </c>
      <c r="D90" s="437">
        <f>NotaDeVenta[[#This Row],[Ancho]]</f>
        <v>0</v>
      </c>
      <c r="E90" s="437">
        <f>NotaDeVenta[[#This Row],[Alto]]</f>
        <v>0</v>
      </c>
      <c r="F90" s="438">
        <f>NotaDeVenta[[#This Row],[Cantidad]]</f>
        <v>0</v>
      </c>
      <c r="G90" s="437">
        <f>NotaDeVenta[[#This Row],[ML impresos]]</f>
        <v>0</v>
      </c>
      <c r="H90" s="403"/>
      <c r="I90" s="323"/>
      <c r="J90" s="323"/>
      <c r="K90" s="323"/>
      <c r="L90" s="323"/>
      <c r="M90" s="408"/>
      <c r="N90" s="408"/>
      <c r="O90" s="408"/>
      <c r="P90" s="408"/>
      <c r="Q90" s="408"/>
      <c r="R90" s="408"/>
      <c r="S90" s="408"/>
      <c r="T90" s="408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120"/>
      <c r="AG90" s="120"/>
      <c r="AH90" s="120"/>
      <c r="AI90" s="120"/>
      <c r="AJ90" s="120"/>
      <c r="AK90" s="120"/>
      <c r="AL90" s="120"/>
      <c r="AM90" s="120"/>
    </row>
    <row r="91" spans="1:39" s="119" customFormat="1" ht="30" customHeight="1">
      <c r="A91" s="435">
        <f>NotaDeVenta[[#This Row],[Tema]]</f>
        <v>0</v>
      </c>
      <c r="B91" s="435">
        <f>NotaDeVenta[[#This Row],[Producto]]</f>
        <v>0</v>
      </c>
      <c r="C91" s="436">
        <f>NotaDeVenta[[#This Row],[Textil]]</f>
        <v>0</v>
      </c>
      <c r="D91" s="437">
        <f>NotaDeVenta[[#This Row],[Ancho]]</f>
        <v>0</v>
      </c>
      <c r="E91" s="437">
        <f>NotaDeVenta[[#This Row],[Alto]]</f>
        <v>0</v>
      </c>
      <c r="F91" s="438">
        <f>NotaDeVenta[[#This Row],[Cantidad]]</f>
        <v>0</v>
      </c>
      <c r="G91" s="437">
        <f>NotaDeVenta[[#This Row],[ML impresos]]</f>
        <v>0</v>
      </c>
      <c r="H91" s="403"/>
      <c r="I91" s="323"/>
      <c r="J91" s="323"/>
      <c r="K91" s="323"/>
      <c r="L91" s="323"/>
      <c r="M91" s="408"/>
      <c r="N91" s="408"/>
      <c r="O91" s="408"/>
      <c r="P91" s="408"/>
      <c r="Q91" s="408"/>
      <c r="R91" s="408"/>
      <c r="S91" s="408"/>
      <c r="T91" s="408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  <c r="AK91" s="120"/>
      <c r="AL91" s="120"/>
      <c r="AM91" s="120"/>
    </row>
    <row r="92" spans="1:39" s="119" customFormat="1" ht="30" customHeight="1">
      <c r="A92" s="435">
        <f>NotaDeVenta[[#This Row],[Tema]]</f>
        <v>0</v>
      </c>
      <c r="B92" s="435">
        <f>NotaDeVenta[[#This Row],[Producto]]</f>
        <v>0</v>
      </c>
      <c r="C92" s="436">
        <f>NotaDeVenta[[#This Row],[Textil]]</f>
        <v>0</v>
      </c>
      <c r="D92" s="437">
        <f>NotaDeVenta[[#This Row],[Ancho]]</f>
        <v>0</v>
      </c>
      <c r="E92" s="437">
        <f>NotaDeVenta[[#This Row],[Alto]]</f>
        <v>0</v>
      </c>
      <c r="F92" s="438">
        <f>NotaDeVenta[[#This Row],[Cantidad]]</f>
        <v>0</v>
      </c>
      <c r="G92" s="437">
        <f>NotaDeVenta[[#This Row],[ML impresos]]</f>
        <v>0</v>
      </c>
      <c r="H92" s="403"/>
      <c r="I92" s="323"/>
      <c r="J92" s="323"/>
      <c r="K92" s="323"/>
      <c r="L92" s="323"/>
      <c r="M92" s="408"/>
      <c r="N92" s="408"/>
      <c r="O92" s="408"/>
      <c r="P92" s="408"/>
      <c r="Q92" s="408"/>
      <c r="R92" s="408"/>
      <c r="S92" s="408"/>
      <c r="T92" s="408"/>
      <c r="U92" s="120"/>
      <c r="V92" s="120"/>
      <c r="W92" s="120"/>
      <c r="X92" s="120"/>
      <c r="Y92" s="120"/>
      <c r="Z92" s="120"/>
      <c r="AA92" s="120"/>
      <c r="AB92" s="120"/>
      <c r="AC92" s="120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</row>
    <row r="93" spans="1:39" s="119" customFormat="1" ht="30" customHeight="1">
      <c r="A93" s="435">
        <f>NotaDeVenta[[#This Row],[Tema]]</f>
        <v>0</v>
      </c>
      <c r="B93" s="435">
        <f>NotaDeVenta[[#This Row],[Producto]]</f>
        <v>0</v>
      </c>
      <c r="C93" s="436">
        <f>NotaDeVenta[[#This Row],[Textil]]</f>
        <v>0</v>
      </c>
      <c r="D93" s="437">
        <f>NotaDeVenta[[#This Row],[Ancho]]</f>
        <v>0</v>
      </c>
      <c r="E93" s="437">
        <f>NotaDeVenta[[#This Row],[Alto]]</f>
        <v>0</v>
      </c>
      <c r="F93" s="438">
        <f>NotaDeVenta[[#This Row],[Cantidad]]</f>
        <v>0</v>
      </c>
      <c r="G93" s="437">
        <f>NotaDeVenta[[#This Row],[ML impresos]]</f>
        <v>0</v>
      </c>
      <c r="H93" s="403"/>
      <c r="I93" s="323"/>
      <c r="J93" s="323"/>
      <c r="K93" s="323"/>
      <c r="L93" s="323"/>
      <c r="M93" s="408"/>
      <c r="N93" s="408"/>
      <c r="O93" s="408"/>
      <c r="P93" s="408"/>
      <c r="Q93" s="408"/>
      <c r="R93" s="408"/>
      <c r="S93" s="408"/>
      <c r="T93" s="408"/>
      <c r="U93" s="120"/>
      <c r="V93" s="120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</row>
    <row r="94" spans="1:39" s="119" customFormat="1" ht="30" customHeight="1">
      <c r="A94" s="435">
        <f>NotaDeVenta[[#This Row],[Tema]]</f>
        <v>0</v>
      </c>
      <c r="B94" s="435">
        <f>NotaDeVenta[[#This Row],[Producto]]</f>
        <v>0</v>
      </c>
      <c r="C94" s="436">
        <f>NotaDeVenta[[#This Row],[Textil]]</f>
        <v>0</v>
      </c>
      <c r="D94" s="437">
        <f>NotaDeVenta[[#This Row],[Ancho]]</f>
        <v>0</v>
      </c>
      <c r="E94" s="437">
        <f>NotaDeVenta[[#This Row],[Alto]]</f>
        <v>0</v>
      </c>
      <c r="F94" s="438">
        <f>NotaDeVenta[[#This Row],[Cantidad]]</f>
        <v>0</v>
      </c>
      <c r="G94" s="437">
        <f>NotaDeVenta[[#This Row],[ML impresos]]</f>
        <v>0</v>
      </c>
      <c r="H94" s="403"/>
      <c r="I94" s="323"/>
      <c r="J94" s="323"/>
      <c r="K94" s="323"/>
      <c r="L94" s="323"/>
      <c r="M94" s="408"/>
      <c r="N94" s="408"/>
      <c r="O94" s="408"/>
      <c r="P94" s="408"/>
      <c r="Q94" s="408"/>
      <c r="R94" s="408"/>
      <c r="S94" s="408"/>
      <c r="T94" s="408"/>
      <c r="U94" s="120"/>
      <c r="V94" s="120"/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</row>
    <row r="95" spans="1:39" s="119" customFormat="1" ht="30" customHeight="1">
      <c r="A95" s="435">
        <f>NotaDeVenta[[#This Row],[Tema]]</f>
        <v>0</v>
      </c>
      <c r="B95" s="435">
        <f>NotaDeVenta[[#This Row],[Producto]]</f>
        <v>0</v>
      </c>
      <c r="C95" s="436">
        <f>NotaDeVenta[[#This Row],[Textil]]</f>
        <v>0</v>
      </c>
      <c r="D95" s="437">
        <f>NotaDeVenta[[#This Row],[Ancho]]</f>
        <v>0</v>
      </c>
      <c r="E95" s="437">
        <f>NotaDeVenta[[#This Row],[Alto]]</f>
        <v>0</v>
      </c>
      <c r="F95" s="438">
        <f>NotaDeVenta[[#This Row],[Cantidad]]</f>
        <v>0</v>
      </c>
      <c r="G95" s="437">
        <f>NotaDeVenta[[#This Row],[ML impresos]]</f>
        <v>0</v>
      </c>
      <c r="H95" s="403"/>
      <c r="I95" s="323"/>
      <c r="J95" s="323"/>
      <c r="K95" s="323"/>
      <c r="L95" s="323"/>
      <c r="M95" s="408"/>
      <c r="N95" s="408"/>
      <c r="O95" s="408"/>
      <c r="P95" s="408"/>
      <c r="Q95" s="408"/>
      <c r="R95" s="408"/>
      <c r="S95" s="408"/>
      <c r="T95" s="408"/>
      <c r="U95" s="120"/>
      <c r="V95" s="120"/>
      <c r="W95" s="120"/>
      <c r="X95" s="120"/>
      <c r="Y95" s="120"/>
      <c r="Z95" s="120"/>
      <c r="AA95" s="120"/>
      <c r="AB95" s="120"/>
      <c r="AC95" s="120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</row>
    <row r="96" spans="1:39" s="119" customFormat="1" ht="30" customHeight="1">
      <c r="A96" s="435">
        <f>NotaDeVenta[[#This Row],[Tema]]</f>
        <v>0</v>
      </c>
      <c r="B96" s="435">
        <f>NotaDeVenta[[#This Row],[Producto]]</f>
        <v>0</v>
      </c>
      <c r="C96" s="436">
        <f>NotaDeVenta[[#This Row],[Textil]]</f>
        <v>0</v>
      </c>
      <c r="D96" s="437">
        <f>NotaDeVenta[[#This Row],[Ancho]]</f>
        <v>0</v>
      </c>
      <c r="E96" s="437">
        <f>NotaDeVenta[[#This Row],[Alto]]</f>
        <v>0</v>
      </c>
      <c r="F96" s="438">
        <f>NotaDeVenta[[#This Row],[Cantidad]]</f>
        <v>0</v>
      </c>
      <c r="G96" s="437">
        <f>NotaDeVenta[[#This Row],[ML impresos]]</f>
        <v>0</v>
      </c>
      <c r="H96" s="403"/>
      <c r="I96" s="323"/>
      <c r="J96" s="323"/>
      <c r="K96" s="323"/>
      <c r="L96" s="323"/>
      <c r="M96" s="408"/>
      <c r="N96" s="408"/>
      <c r="O96" s="408"/>
      <c r="P96" s="408"/>
      <c r="Q96" s="408"/>
      <c r="R96" s="408"/>
      <c r="S96" s="408"/>
      <c r="T96" s="408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0"/>
      <c r="AL96" s="120"/>
      <c r="AM96" s="120"/>
    </row>
    <row r="97" spans="1:39" s="119" customFormat="1" ht="30" customHeight="1">
      <c r="A97" s="435">
        <f>NotaDeVenta[[#This Row],[Tema]]</f>
        <v>0</v>
      </c>
      <c r="B97" s="435">
        <f>NotaDeVenta[[#This Row],[Producto]]</f>
        <v>0</v>
      </c>
      <c r="C97" s="436">
        <f>NotaDeVenta[[#This Row],[Textil]]</f>
        <v>0</v>
      </c>
      <c r="D97" s="437">
        <f>NotaDeVenta[[#This Row],[Ancho]]</f>
        <v>0</v>
      </c>
      <c r="E97" s="437">
        <f>NotaDeVenta[[#This Row],[Alto]]</f>
        <v>0</v>
      </c>
      <c r="F97" s="438">
        <f>NotaDeVenta[[#This Row],[Cantidad]]</f>
        <v>0</v>
      </c>
      <c r="G97" s="437">
        <f>NotaDeVenta[[#This Row],[ML impresos]]</f>
        <v>0</v>
      </c>
      <c r="H97" s="403"/>
      <c r="I97" s="323"/>
      <c r="J97" s="323"/>
      <c r="K97" s="323"/>
      <c r="L97" s="323"/>
      <c r="M97" s="408"/>
      <c r="N97" s="408"/>
      <c r="O97" s="408"/>
      <c r="P97" s="408"/>
      <c r="Q97" s="408"/>
      <c r="R97" s="408"/>
      <c r="S97" s="408"/>
      <c r="T97" s="408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</row>
    <row r="98" spans="1:39" s="119" customFormat="1" ht="30" customHeight="1">
      <c r="A98" s="435">
        <f>NotaDeVenta[[#This Row],[Tema]]</f>
        <v>0</v>
      </c>
      <c r="B98" s="435">
        <f>NotaDeVenta[[#This Row],[Producto]]</f>
        <v>0</v>
      </c>
      <c r="C98" s="436">
        <f>NotaDeVenta[[#This Row],[Textil]]</f>
        <v>0</v>
      </c>
      <c r="D98" s="437">
        <f>NotaDeVenta[[#This Row],[Ancho]]</f>
        <v>0</v>
      </c>
      <c r="E98" s="437">
        <f>NotaDeVenta[[#This Row],[Alto]]</f>
        <v>0</v>
      </c>
      <c r="F98" s="438">
        <f>NotaDeVenta[[#This Row],[Cantidad]]</f>
        <v>0</v>
      </c>
      <c r="G98" s="437">
        <f>NotaDeVenta[[#This Row],[ML impresos]]</f>
        <v>0</v>
      </c>
      <c r="H98" s="403"/>
      <c r="I98" s="323"/>
      <c r="J98" s="323"/>
      <c r="K98" s="323"/>
      <c r="L98" s="323"/>
      <c r="M98" s="408"/>
      <c r="N98" s="408"/>
      <c r="O98" s="408"/>
      <c r="P98" s="408"/>
      <c r="Q98" s="408"/>
      <c r="R98" s="408"/>
      <c r="S98" s="408"/>
      <c r="T98" s="408"/>
      <c r="U98" s="120"/>
      <c r="V98" s="120"/>
      <c r="W98" s="120"/>
      <c r="X98" s="120"/>
      <c r="Y98" s="120"/>
      <c r="Z98" s="120"/>
      <c r="AA98" s="120"/>
      <c r="AB98" s="120"/>
      <c r="AC98" s="120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</row>
    <row r="99" spans="1:39" s="119" customFormat="1" ht="30" customHeight="1">
      <c r="A99" s="435">
        <f>NotaDeVenta[[#This Row],[Tema]]</f>
        <v>0</v>
      </c>
      <c r="B99" s="435">
        <f>NotaDeVenta[[#This Row],[Producto]]</f>
        <v>0</v>
      </c>
      <c r="C99" s="436">
        <f>NotaDeVenta[[#This Row],[Textil]]</f>
        <v>0</v>
      </c>
      <c r="D99" s="437">
        <f>NotaDeVenta[[#This Row],[Ancho]]</f>
        <v>0</v>
      </c>
      <c r="E99" s="437">
        <f>NotaDeVenta[[#This Row],[Alto]]</f>
        <v>0</v>
      </c>
      <c r="F99" s="438">
        <f>NotaDeVenta[[#This Row],[Cantidad]]</f>
        <v>0</v>
      </c>
      <c r="G99" s="437">
        <f>NotaDeVenta[[#This Row],[ML impresos]]</f>
        <v>0</v>
      </c>
      <c r="H99" s="403"/>
      <c r="I99" s="323"/>
      <c r="J99" s="323"/>
      <c r="K99" s="323"/>
      <c r="L99" s="323"/>
      <c r="M99" s="408"/>
      <c r="N99" s="408"/>
      <c r="O99" s="408"/>
      <c r="P99" s="408"/>
      <c r="Q99" s="408"/>
      <c r="R99" s="408"/>
      <c r="S99" s="408"/>
      <c r="T99" s="408"/>
      <c r="U99" s="120"/>
      <c r="V99" s="120"/>
      <c r="W99" s="120"/>
      <c r="X99" s="120"/>
      <c r="Y99" s="120"/>
      <c r="Z99" s="120"/>
      <c r="AA99" s="120"/>
      <c r="AB99" s="120"/>
      <c r="AC99" s="120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</row>
    <row r="100" spans="1:39" s="119" customFormat="1" ht="30" customHeight="1">
      <c r="A100" s="435">
        <f>NotaDeVenta[[#This Row],[Tema]]</f>
        <v>0</v>
      </c>
      <c r="B100" s="435">
        <f>NotaDeVenta[[#This Row],[Producto]]</f>
        <v>0</v>
      </c>
      <c r="C100" s="436">
        <f>NotaDeVenta[[#This Row],[Textil]]</f>
        <v>0</v>
      </c>
      <c r="D100" s="437">
        <f>NotaDeVenta[[#This Row],[Ancho]]</f>
        <v>0</v>
      </c>
      <c r="E100" s="437">
        <f>NotaDeVenta[[#This Row],[Alto]]</f>
        <v>0</v>
      </c>
      <c r="F100" s="438">
        <f>NotaDeVenta[[#This Row],[Cantidad]]</f>
        <v>0</v>
      </c>
      <c r="G100" s="437">
        <f>NotaDeVenta[[#This Row],[ML impresos]]</f>
        <v>0</v>
      </c>
      <c r="H100" s="403"/>
      <c r="I100" s="323"/>
      <c r="J100" s="323"/>
      <c r="K100" s="323"/>
      <c r="L100" s="323"/>
      <c r="M100" s="408"/>
      <c r="N100" s="408"/>
      <c r="O100" s="408"/>
      <c r="P100" s="408"/>
      <c r="Q100" s="408"/>
      <c r="R100" s="408"/>
      <c r="S100" s="408"/>
      <c r="T100" s="408"/>
      <c r="U100" s="120"/>
      <c r="V100" s="120"/>
      <c r="W100" s="120"/>
      <c r="X100" s="120"/>
      <c r="Y100" s="120"/>
      <c r="Z100" s="120"/>
      <c r="AA100" s="120"/>
      <c r="AB100" s="120"/>
      <c r="AC100" s="120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</row>
    <row r="101" spans="1:39" s="119" customFormat="1" ht="30" customHeight="1">
      <c r="A101" s="435">
        <f>NotaDeVenta[[#This Row],[Tema]]</f>
        <v>0</v>
      </c>
      <c r="B101" s="435">
        <f>NotaDeVenta[[#This Row],[Producto]]</f>
        <v>0</v>
      </c>
      <c r="C101" s="436">
        <f>NotaDeVenta[[#This Row],[Textil]]</f>
        <v>0</v>
      </c>
      <c r="D101" s="437">
        <f>NotaDeVenta[[#This Row],[Ancho]]</f>
        <v>0</v>
      </c>
      <c r="E101" s="437">
        <f>NotaDeVenta[[#This Row],[Alto]]</f>
        <v>0</v>
      </c>
      <c r="F101" s="438">
        <f>NotaDeVenta[[#This Row],[Cantidad]]</f>
        <v>0</v>
      </c>
      <c r="G101" s="437">
        <f>NotaDeVenta[[#This Row],[ML impresos]]</f>
        <v>0</v>
      </c>
      <c r="H101" s="403"/>
      <c r="I101" s="323"/>
      <c r="J101" s="323"/>
      <c r="K101" s="323"/>
      <c r="L101" s="323"/>
      <c r="M101" s="408"/>
      <c r="N101" s="408"/>
      <c r="O101" s="408"/>
      <c r="P101" s="408"/>
      <c r="Q101" s="408"/>
      <c r="R101" s="408"/>
      <c r="S101" s="408"/>
      <c r="T101" s="408"/>
      <c r="U101" s="120"/>
      <c r="V101" s="120"/>
      <c r="W101" s="120"/>
      <c r="X101" s="120"/>
      <c r="Y101" s="120"/>
      <c r="Z101" s="120"/>
      <c r="AA101" s="120"/>
      <c r="AB101" s="120"/>
      <c r="AC101" s="120"/>
      <c r="AD101" s="120"/>
      <c r="AE101" s="120"/>
      <c r="AF101" s="120"/>
      <c r="AG101" s="120"/>
      <c r="AH101" s="120"/>
      <c r="AI101" s="120"/>
      <c r="AJ101" s="120"/>
      <c r="AK101" s="120"/>
      <c r="AL101" s="120"/>
      <c r="AM101" s="120"/>
    </row>
    <row r="102" spans="1:39" s="119" customFormat="1" ht="30" customHeight="1">
      <c r="A102" s="435">
        <f>NotaDeVenta[[#This Row],[Tema]]</f>
        <v>0</v>
      </c>
      <c r="B102" s="435">
        <f>NotaDeVenta[[#This Row],[Producto]]</f>
        <v>0</v>
      </c>
      <c r="C102" s="436">
        <f>NotaDeVenta[[#This Row],[Textil]]</f>
        <v>0</v>
      </c>
      <c r="D102" s="437">
        <f>NotaDeVenta[[#This Row],[Ancho]]</f>
        <v>0</v>
      </c>
      <c r="E102" s="437">
        <f>NotaDeVenta[[#This Row],[Alto]]</f>
        <v>0</v>
      </c>
      <c r="F102" s="438">
        <f>NotaDeVenta[[#This Row],[Cantidad]]</f>
        <v>0</v>
      </c>
      <c r="G102" s="437">
        <f>NotaDeVenta[[#This Row],[ML impresos]]</f>
        <v>0</v>
      </c>
      <c r="H102" s="403"/>
      <c r="I102" s="323"/>
      <c r="J102" s="323"/>
      <c r="K102" s="323"/>
      <c r="L102" s="323"/>
      <c r="M102" s="408"/>
      <c r="N102" s="408"/>
      <c r="O102" s="408"/>
      <c r="P102" s="408"/>
      <c r="Q102" s="408"/>
      <c r="R102" s="408"/>
      <c r="S102" s="408"/>
      <c r="T102" s="408"/>
      <c r="U102" s="120"/>
      <c r="V102" s="120"/>
      <c r="W102" s="120"/>
      <c r="X102" s="120"/>
      <c r="Y102" s="120"/>
      <c r="Z102" s="120"/>
      <c r="AA102" s="120"/>
      <c r="AB102" s="120"/>
      <c r="AC102" s="120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</row>
    <row r="103" spans="1:39" s="119" customFormat="1" ht="30" customHeight="1">
      <c r="A103" s="435">
        <f>NotaDeVenta[[#This Row],[Tema]]</f>
        <v>0</v>
      </c>
      <c r="B103" s="435">
        <f>NotaDeVenta[[#This Row],[Producto]]</f>
        <v>0</v>
      </c>
      <c r="C103" s="436">
        <f>NotaDeVenta[[#This Row],[Textil]]</f>
        <v>0</v>
      </c>
      <c r="D103" s="437">
        <f>NotaDeVenta[[#This Row],[Ancho]]</f>
        <v>0</v>
      </c>
      <c r="E103" s="437">
        <f>NotaDeVenta[[#This Row],[Alto]]</f>
        <v>0</v>
      </c>
      <c r="F103" s="438">
        <f>NotaDeVenta[[#This Row],[Cantidad]]</f>
        <v>0</v>
      </c>
      <c r="G103" s="437">
        <f>NotaDeVenta[[#This Row],[ML impresos]]</f>
        <v>0</v>
      </c>
      <c r="H103" s="403"/>
      <c r="I103" s="323"/>
      <c r="J103" s="323"/>
      <c r="K103" s="323"/>
      <c r="L103" s="323"/>
      <c r="M103" s="408"/>
      <c r="N103" s="408"/>
      <c r="O103" s="408"/>
      <c r="P103" s="408"/>
      <c r="Q103" s="408"/>
      <c r="R103" s="408"/>
      <c r="S103" s="408"/>
      <c r="T103" s="408"/>
      <c r="U103" s="120"/>
      <c r="V103" s="120"/>
      <c r="W103" s="120"/>
      <c r="X103" s="120"/>
      <c r="Y103" s="120"/>
      <c r="Z103" s="120"/>
      <c r="AA103" s="120"/>
      <c r="AB103" s="120"/>
      <c r="AC103" s="120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</row>
    <row r="104" spans="1:39" s="119" customFormat="1" ht="30" customHeight="1">
      <c r="A104" s="435">
        <f>NotaDeVenta[[#This Row],[Tema]]</f>
        <v>0</v>
      </c>
      <c r="B104" s="435">
        <f>NotaDeVenta[[#This Row],[Producto]]</f>
        <v>0</v>
      </c>
      <c r="C104" s="436">
        <f>NotaDeVenta[[#This Row],[Textil]]</f>
        <v>0</v>
      </c>
      <c r="D104" s="437">
        <f>NotaDeVenta[[#This Row],[Ancho]]</f>
        <v>0</v>
      </c>
      <c r="E104" s="437">
        <f>NotaDeVenta[[#This Row],[Alto]]</f>
        <v>0</v>
      </c>
      <c r="F104" s="438">
        <f>NotaDeVenta[[#This Row],[Cantidad]]</f>
        <v>0</v>
      </c>
      <c r="G104" s="437">
        <f>NotaDeVenta[[#This Row],[ML impresos]]</f>
        <v>0</v>
      </c>
      <c r="H104" s="403"/>
      <c r="I104" s="323"/>
      <c r="J104" s="323"/>
      <c r="K104" s="323"/>
      <c r="L104" s="323"/>
      <c r="M104" s="408"/>
      <c r="N104" s="408"/>
      <c r="O104" s="408"/>
      <c r="P104" s="408"/>
      <c r="Q104" s="408"/>
      <c r="R104" s="408"/>
      <c r="S104" s="408"/>
      <c r="T104" s="408"/>
      <c r="U104" s="120"/>
      <c r="V104" s="120"/>
      <c r="W104" s="120"/>
      <c r="X104" s="120"/>
      <c r="Y104" s="120"/>
      <c r="Z104" s="120"/>
      <c r="AA104" s="120"/>
      <c r="AB104" s="120"/>
      <c r="AC104" s="120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</row>
    <row r="105" spans="1:39" s="119" customFormat="1" ht="30" customHeight="1">
      <c r="A105" s="435">
        <f>NotaDeVenta[[#This Row],[Tema]]</f>
        <v>0</v>
      </c>
      <c r="B105" s="435">
        <f>NotaDeVenta[[#This Row],[Producto]]</f>
        <v>0</v>
      </c>
      <c r="C105" s="436">
        <f>NotaDeVenta[[#This Row],[Textil]]</f>
        <v>0</v>
      </c>
      <c r="D105" s="437">
        <f>NotaDeVenta[[#This Row],[Ancho]]</f>
        <v>0</v>
      </c>
      <c r="E105" s="437">
        <f>NotaDeVenta[[#This Row],[Alto]]</f>
        <v>0</v>
      </c>
      <c r="F105" s="438">
        <f>NotaDeVenta[[#This Row],[Cantidad]]</f>
        <v>0</v>
      </c>
      <c r="G105" s="437">
        <f>NotaDeVenta[[#This Row],[ML impresos]]</f>
        <v>0</v>
      </c>
      <c r="H105" s="403"/>
      <c r="I105" s="323"/>
      <c r="J105" s="323"/>
      <c r="K105" s="323"/>
      <c r="L105" s="323"/>
      <c r="M105" s="408"/>
      <c r="N105" s="408"/>
      <c r="O105" s="408"/>
      <c r="P105" s="408"/>
      <c r="Q105" s="408"/>
      <c r="R105" s="408"/>
      <c r="S105" s="408"/>
      <c r="T105" s="408"/>
      <c r="U105" s="120"/>
      <c r="V105" s="120"/>
      <c r="W105" s="120"/>
      <c r="X105" s="120"/>
      <c r="Y105" s="120"/>
      <c r="Z105" s="120"/>
      <c r="AA105" s="120"/>
      <c r="AB105" s="120"/>
      <c r="AC105" s="120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</row>
    <row r="106" spans="1:39" s="119" customFormat="1" ht="30" customHeight="1">
      <c r="A106" s="435">
        <f>NotaDeVenta[[#This Row],[Tema]]</f>
        <v>0</v>
      </c>
      <c r="B106" s="435">
        <f>NotaDeVenta[[#This Row],[Producto]]</f>
        <v>0</v>
      </c>
      <c r="C106" s="436">
        <f>NotaDeVenta[[#This Row],[Textil]]</f>
        <v>0</v>
      </c>
      <c r="D106" s="437">
        <f>NotaDeVenta[[#This Row],[Ancho]]</f>
        <v>0</v>
      </c>
      <c r="E106" s="437">
        <f>NotaDeVenta[[#This Row],[Alto]]</f>
        <v>0</v>
      </c>
      <c r="F106" s="438">
        <f>NotaDeVenta[[#This Row],[Cantidad]]</f>
        <v>0</v>
      </c>
      <c r="G106" s="437">
        <f>NotaDeVenta[[#This Row],[ML impresos]]</f>
        <v>0</v>
      </c>
      <c r="H106" s="403"/>
      <c r="I106" s="323"/>
      <c r="J106" s="323"/>
      <c r="K106" s="323"/>
      <c r="L106" s="323"/>
      <c r="M106" s="408"/>
      <c r="N106" s="408"/>
      <c r="O106" s="408"/>
      <c r="P106" s="408"/>
      <c r="Q106" s="408"/>
      <c r="R106" s="408"/>
      <c r="S106" s="408"/>
      <c r="T106" s="408"/>
      <c r="U106" s="120"/>
      <c r="V106" s="120"/>
      <c r="W106" s="120"/>
      <c r="X106" s="120"/>
      <c r="Y106" s="120"/>
      <c r="Z106" s="120"/>
      <c r="AA106" s="120"/>
      <c r="AB106" s="120"/>
      <c r="AC106" s="120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</row>
    <row r="107" spans="1:39" s="119" customFormat="1" ht="30" customHeight="1">
      <c r="A107" s="435">
        <f>NotaDeVenta[[#This Row],[Tema]]</f>
        <v>0</v>
      </c>
      <c r="B107" s="435">
        <f>NotaDeVenta[[#This Row],[Producto]]</f>
        <v>0</v>
      </c>
      <c r="C107" s="436">
        <f>NotaDeVenta[[#This Row],[Textil]]</f>
        <v>0</v>
      </c>
      <c r="D107" s="437">
        <f>NotaDeVenta[[#This Row],[Ancho]]</f>
        <v>0</v>
      </c>
      <c r="E107" s="437">
        <f>NotaDeVenta[[#This Row],[Alto]]</f>
        <v>0</v>
      </c>
      <c r="F107" s="438">
        <f>NotaDeVenta[[#This Row],[Cantidad]]</f>
        <v>0</v>
      </c>
      <c r="G107" s="437">
        <f>NotaDeVenta[[#This Row],[ML impresos]]</f>
        <v>0</v>
      </c>
      <c r="H107" s="403"/>
      <c r="I107" s="323"/>
      <c r="J107" s="323"/>
      <c r="K107" s="323"/>
      <c r="L107" s="323"/>
      <c r="M107" s="408"/>
      <c r="N107" s="408"/>
      <c r="O107" s="408"/>
      <c r="P107" s="408"/>
      <c r="Q107" s="408"/>
      <c r="R107" s="408"/>
      <c r="S107" s="408"/>
      <c r="T107" s="408"/>
      <c r="U107" s="120"/>
      <c r="V107" s="120"/>
      <c r="W107" s="120"/>
      <c r="X107" s="120"/>
      <c r="Y107" s="120"/>
      <c r="Z107" s="120"/>
      <c r="AA107" s="120"/>
      <c r="AB107" s="120"/>
      <c r="AC107" s="120"/>
      <c r="AD107" s="120"/>
      <c r="AE107" s="120"/>
      <c r="AF107" s="120"/>
      <c r="AG107" s="120"/>
      <c r="AH107" s="120"/>
      <c r="AI107" s="120"/>
      <c r="AJ107" s="120"/>
      <c r="AK107" s="120"/>
      <c r="AL107" s="120"/>
      <c r="AM107" s="120"/>
    </row>
    <row r="108" spans="1:39" s="119" customFormat="1" ht="30" customHeight="1">
      <c r="A108" s="435">
        <f>NotaDeVenta[[#This Row],[Tema]]</f>
        <v>0</v>
      </c>
      <c r="B108" s="435">
        <f>NotaDeVenta[[#This Row],[Producto]]</f>
        <v>0</v>
      </c>
      <c r="C108" s="436">
        <f>NotaDeVenta[[#This Row],[Textil]]</f>
        <v>0</v>
      </c>
      <c r="D108" s="437">
        <f>NotaDeVenta[[#This Row],[Ancho]]</f>
        <v>0</v>
      </c>
      <c r="E108" s="437">
        <f>NotaDeVenta[[#This Row],[Alto]]</f>
        <v>0</v>
      </c>
      <c r="F108" s="438">
        <f>NotaDeVenta[[#This Row],[Cantidad]]</f>
        <v>0</v>
      </c>
      <c r="G108" s="437">
        <f>NotaDeVenta[[#This Row],[ML impresos]]</f>
        <v>0</v>
      </c>
      <c r="H108" s="403"/>
      <c r="I108" s="323"/>
      <c r="J108" s="323"/>
      <c r="K108" s="323"/>
      <c r="L108" s="323"/>
      <c r="M108" s="408"/>
      <c r="N108" s="408"/>
      <c r="O108" s="408"/>
      <c r="P108" s="408"/>
      <c r="Q108" s="408"/>
      <c r="R108" s="408"/>
      <c r="S108" s="408"/>
      <c r="T108" s="408"/>
      <c r="U108" s="120"/>
      <c r="V108" s="120"/>
      <c r="W108" s="120"/>
      <c r="X108" s="120"/>
      <c r="Y108" s="120"/>
      <c r="Z108" s="120"/>
      <c r="AA108" s="120"/>
      <c r="AB108" s="120"/>
      <c r="AC108" s="120"/>
      <c r="AD108" s="120"/>
      <c r="AE108" s="120"/>
      <c r="AF108" s="120"/>
      <c r="AG108" s="120"/>
      <c r="AH108" s="120"/>
      <c r="AI108" s="120"/>
      <c r="AJ108" s="120"/>
      <c r="AK108" s="120"/>
      <c r="AL108" s="120"/>
      <c r="AM108" s="120"/>
    </row>
    <row r="109" spans="1:39" s="119" customFormat="1" ht="30" customHeight="1">
      <c r="A109" s="435">
        <f>NotaDeVenta[[#This Row],[Tema]]</f>
        <v>0</v>
      </c>
      <c r="B109" s="435">
        <f>NotaDeVenta[[#This Row],[Producto]]</f>
        <v>0</v>
      </c>
      <c r="C109" s="436">
        <f>NotaDeVenta[[#This Row],[Textil]]</f>
        <v>0</v>
      </c>
      <c r="D109" s="437">
        <f>NotaDeVenta[[#This Row],[Ancho]]</f>
        <v>0</v>
      </c>
      <c r="E109" s="437">
        <f>NotaDeVenta[[#This Row],[Alto]]</f>
        <v>0</v>
      </c>
      <c r="F109" s="438">
        <f>NotaDeVenta[[#This Row],[Cantidad]]</f>
        <v>0</v>
      </c>
      <c r="G109" s="437">
        <f>NotaDeVenta[[#This Row],[ML impresos]]</f>
        <v>0</v>
      </c>
      <c r="H109" s="403"/>
      <c r="I109" s="323"/>
      <c r="J109" s="323"/>
      <c r="K109" s="323"/>
      <c r="L109" s="323"/>
      <c r="M109" s="408"/>
      <c r="N109" s="408"/>
      <c r="O109" s="408"/>
      <c r="P109" s="408"/>
      <c r="Q109" s="408"/>
      <c r="R109" s="408"/>
      <c r="S109" s="408"/>
      <c r="T109" s="408"/>
      <c r="U109" s="120"/>
      <c r="V109" s="120"/>
      <c r="W109" s="120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20"/>
      <c r="AH109" s="120"/>
      <c r="AI109" s="120"/>
      <c r="AJ109" s="120"/>
      <c r="AK109" s="120"/>
      <c r="AL109" s="120"/>
      <c r="AM109" s="120"/>
    </row>
    <row r="110" spans="1:39" s="119" customFormat="1" ht="30" customHeight="1">
      <c r="A110" s="435">
        <f>NotaDeVenta[[#This Row],[Tema]]</f>
        <v>0</v>
      </c>
      <c r="B110" s="435">
        <f>NotaDeVenta[[#This Row],[Producto]]</f>
        <v>0</v>
      </c>
      <c r="C110" s="436">
        <f>NotaDeVenta[[#This Row],[Textil]]</f>
        <v>0</v>
      </c>
      <c r="D110" s="437">
        <f>NotaDeVenta[[#This Row],[Ancho]]</f>
        <v>0</v>
      </c>
      <c r="E110" s="437">
        <f>NotaDeVenta[[#This Row],[Alto]]</f>
        <v>0</v>
      </c>
      <c r="F110" s="438">
        <f>NotaDeVenta[[#This Row],[Cantidad]]</f>
        <v>0</v>
      </c>
      <c r="G110" s="437">
        <f>NotaDeVenta[[#This Row],[ML impresos]]</f>
        <v>0</v>
      </c>
      <c r="H110" s="403"/>
      <c r="I110" s="323"/>
      <c r="J110" s="323"/>
      <c r="K110" s="323"/>
      <c r="L110" s="323"/>
      <c r="M110" s="408"/>
      <c r="N110" s="408"/>
      <c r="O110" s="408"/>
      <c r="P110" s="408"/>
      <c r="Q110" s="408"/>
      <c r="R110" s="408"/>
      <c r="S110" s="408"/>
      <c r="T110" s="408"/>
      <c r="U110" s="120"/>
      <c r="V110" s="120"/>
      <c r="W110" s="120"/>
      <c r="X110" s="120"/>
      <c r="Y110" s="120"/>
      <c r="Z110" s="120"/>
      <c r="AA110" s="120"/>
      <c r="AB110" s="120"/>
      <c r="AC110" s="120"/>
      <c r="AD110" s="120"/>
      <c r="AE110" s="120"/>
      <c r="AF110" s="120"/>
      <c r="AG110" s="120"/>
      <c r="AH110" s="120"/>
      <c r="AI110" s="120"/>
      <c r="AJ110" s="120"/>
      <c r="AK110" s="120"/>
      <c r="AL110" s="120"/>
      <c r="AM110" s="120"/>
    </row>
    <row r="111" spans="1:39" ht="17.649999999999999">
      <c r="A111" s="159"/>
      <c r="B111" s="159"/>
      <c r="C111" s="374"/>
      <c r="D111" s="160"/>
      <c r="E111" s="160"/>
      <c r="F111" s="434">
        <f>SUM(F10:F110)</f>
        <v>0</v>
      </c>
      <c r="G111" s="434">
        <f>SUM(G10:G110)</f>
        <v>0</v>
      </c>
      <c r="H111" s="414"/>
      <c r="I111" s="415"/>
      <c r="J111" s="415"/>
      <c r="K111" s="415"/>
      <c r="L111" s="323"/>
      <c r="M111" s="408"/>
      <c r="N111" s="323"/>
      <c r="O111" s="323"/>
      <c r="P111" s="323"/>
      <c r="Q111" s="323"/>
      <c r="R111" s="323"/>
      <c r="S111" s="323"/>
      <c r="T111" s="323"/>
      <c r="AM111" s="120" t="s">
        <v>407</v>
      </c>
    </row>
    <row r="112" spans="1:39" ht="14.65" thickBot="1">
      <c r="C112" s="323"/>
      <c r="D112" s="323"/>
      <c r="E112" s="323"/>
      <c r="F112" s="323"/>
      <c r="G112" s="323"/>
      <c r="H112" s="323"/>
      <c r="I112" s="323"/>
      <c r="J112" s="323"/>
      <c r="K112" s="323"/>
      <c r="L112" s="323"/>
      <c r="M112" s="323"/>
      <c r="N112" s="323"/>
      <c r="O112" s="323"/>
      <c r="P112" s="323"/>
      <c r="Q112" s="323"/>
      <c r="R112" s="323"/>
      <c r="S112" s="323"/>
      <c r="T112" s="323"/>
    </row>
    <row r="113" spans="1:40" ht="21.4" thickBot="1">
      <c r="A113" s="375" t="s">
        <v>408</v>
      </c>
      <c r="B113" s="401"/>
      <c r="C113" s="431"/>
      <c r="D113" s="415"/>
      <c r="E113" s="323"/>
      <c r="F113" s="323"/>
      <c r="G113" s="323"/>
      <c r="H113" s="415" t="s">
        <v>409</v>
      </c>
      <c r="I113" s="428"/>
      <c r="J113" s="428"/>
      <c r="K113" s="428"/>
      <c r="L113" s="323"/>
      <c r="M113" s="323"/>
      <c r="N113" s="323"/>
      <c r="O113" s="323"/>
      <c r="P113" s="323"/>
      <c r="Q113" s="323"/>
      <c r="R113" s="323"/>
      <c r="S113" s="323"/>
      <c r="T113" s="323"/>
    </row>
    <row r="114" spans="1:40" ht="15.75" thickBot="1">
      <c r="A114" s="375" t="s">
        <v>410</v>
      </c>
      <c r="B114" s="401"/>
      <c r="C114" s="376"/>
      <c r="D114" s="160"/>
      <c r="E114" s="160" t="s">
        <v>411</v>
      </c>
      <c r="F114" s="377"/>
      <c r="G114" s="378"/>
      <c r="H114" s="415"/>
      <c r="I114" s="415"/>
      <c r="J114" s="323"/>
      <c r="K114" s="323"/>
      <c r="L114" s="323"/>
      <c r="M114" s="323"/>
      <c r="N114" s="323"/>
      <c r="O114" s="323"/>
      <c r="P114" s="323"/>
      <c r="Q114" s="323"/>
      <c r="R114" s="323"/>
      <c r="S114" s="323"/>
      <c r="T114" s="323"/>
    </row>
    <row r="115" spans="1:40" ht="20.65" thickBot="1">
      <c r="A115" s="379" t="s">
        <v>412</v>
      </c>
      <c r="B115" s="160"/>
      <c r="C115" s="547"/>
      <c r="D115" s="547"/>
      <c r="E115" s="547"/>
      <c r="F115" s="548"/>
      <c r="G115" s="549"/>
      <c r="H115" s="323"/>
      <c r="I115" s="323"/>
      <c r="J115" s="429"/>
      <c r="K115" s="430"/>
      <c r="L115" s="323"/>
      <c r="M115" s="323"/>
      <c r="N115" s="323"/>
      <c r="O115" s="323"/>
      <c r="P115" s="323"/>
      <c r="Q115" s="323"/>
      <c r="R115" s="323"/>
      <c r="S115" s="323"/>
      <c r="T115" s="323"/>
    </row>
    <row r="116" spans="1:40" ht="20.65" thickBot="1">
      <c r="A116" s="379" t="s">
        <v>413</v>
      </c>
      <c r="B116" s="402"/>
      <c r="C116" s="550"/>
      <c r="D116" s="551"/>
      <c r="E116" s="551"/>
      <c r="F116" s="551"/>
      <c r="G116" s="552"/>
      <c r="H116" s="323"/>
      <c r="I116" s="323"/>
      <c r="J116" s="429"/>
      <c r="K116" s="430"/>
      <c r="L116" s="323"/>
      <c r="M116" s="323"/>
      <c r="N116" s="323"/>
      <c r="O116" s="323"/>
      <c r="P116" s="323"/>
      <c r="Q116" s="323"/>
      <c r="R116" s="323"/>
      <c r="S116" s="323"/>
      <c r="T116" s="323"/>
    </row>
    <row r="117" spans="1:40" s="119" customFormat="1" ht="20.65">
      <c r="A117" s="537"/>
      <c r="B117" s="537"/>
      <c r="C117" s="538"/>
      <c r="D117" s="538"/>
      <c r="E117" s="539"/>
      <c r="F117" s="540"/>
      <c r="G117" s="541"/>
      <c r="H117" s="542"/>
      <c r="I117" s="542"/>
      <c r="J117" s="542"/>
      <c r="K117" s="542"/>
      <c r="L117"/>
      <c r="M117" s="408"/>
      <c r="N117" s="408"/>
      <c r="O117" s="408"/>
      <c r="P117" s="408"/>
      <c r="Q117" s="408"/>
      <c r="R117" s="408"/>
      <c r="S117" s="408"/>
      <c r="T117" s="408"/>
      <c r="U117" s="120"/>
      <c r="V117" s="120"/>
      <c r="W117" s="120"/>
      <c r="X117" s="120"/>
      <c r="Y117" s="120"/>
      <c r="Z117" s="120"/>
      <c r="AA117" s="120"/>
      <c r="AB117" s="120"/>
      <c r="AC117" s="120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</row>
    <row r="118" spans="1:40" ht="20.25" hidden="1">
      <c r="A118" s="159"/>
      <c r="B118" s="159"/>
      <c r="J118" s="380"/>
      <c r="K118" s="381"/>
    </row>
    <row r="119" spans="1:40" ht="17.25" hidden="1">
      <c r="H119" s="382"/>
      <c r="I119" s="382"/>
    </row>
    <row r="123" spans="1:40" ht="24" hidden="1" customHeight="1"/>
    <row r="124" spans="1:40" ht="15" hidden="1" customHeight="1"/>
    <row r="126" spans="1:40" ht="33" hidden="1" customHeight="1"/>
  </sheetData>
  <mergeCells count="15">
    <mergeCell ref="A117:D117"/>
    <mergeCell ref="E117:F117"/>
    <mergeCell ref="G117:K117"/>
    <mergeCell ref="C8:F8"/>
    <mergeCell ref="H9:L9"/>
    <mergeCell ref="H10:L10"/>
    <mergeCell ref="C115:E115"/>
    <mergeCell ref="F115:G115"/>
    <mergeCell ref="C116:G116"/>
    <mergeCell ref="B7:K7"/>
    <mergeCell ref="B5:D5"/>
    <mergeCell ref="I1:I2"/>
    <mergeCell ref="J1:K2"/>
    <mergeCell ref="D2:G3"/>
    <mergeCell ref="J5:K5"/>
  </mergeCells>
  <dataValidations disablePrompts="1" count="1">
    <dataValidation type="list" allowBlank="1" showInputMessage="1" showErrorMessage="1" sqref="C111" xr:uid="{505AF3CD-CB27-48B9-9280-8169DA8BC7DA}">
      <formula1>$AB$3:$AB$8</formula1>
    </dataValidation>
  </dataValidations>
  <pageMargins left="0.70866141732283472" right="0.70866141732283472" top="0.74803149606299213" bottom="0.74803149606299213" header="0.31496062992125984" footer="0.31496062992125984"/>
  <pageSetup paperSize="9" scale="86" fitToHeight="0" orientation="landscape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BF7D-F956-354C-8408-113CA0522501}">
  <sheetPr>
    <pageSetUpPr fitToPage="1"/>
  </sheetPr>
  <dimension ref="A1:AF132"/>
  <sheetViews>
    <sheetView tabSelected="1" zoomScale="55" zoomScaleNormal="100" zoomScalePageLayoutView="24" workbookViewId="0">
      <selection activeCell="N6" sqref="N6"/>
    </sheetView>
  </sheetViews>
  <sheetFormatPr baseColWidth="10" defaultColWidth="10.796875" defaultRowHeight="14.25" zeroHeight="1"/>
  <cols>
    <col min="2" max="2" width="21.73046875" customWidth="1"/>
    <col min="3" max="3" width="10" customWidth="1"/>
    <col min="4" max="4" width="10.6640625" customWidth="1"/>
    <col min="5" max="5" width="11.1328125" customWidth="1"/>
    <col min="6" max="6" width="18.1328125" customWidth="1"/>
    <col min="7" max="7" width="14.1328125" customWidth="1"/>
    <col min="8" max="8" width="13.796875" customWidth="1"/>
    <col min="9" max="9" width="14.06640625" customWidth="1"/>
    <col min="10" max="10" width="13.33203125" customWidth="1"/>
    <col min="11" max="11" width="18" customWidth="1"/>
    <col min="12" max="12" width="18.33203125" customWidth="1"/>
    <col min="13" max="13" width="19.1328125" customWidth="1"/>
    <col min="14" max="14" width="24.1328125" customWidth="1"/>
    <col min="26" max="26" width="15.796875" customWidth="1"/>
  </cols>
  <sheetData>
    <row r="1" spans="1:32" ht="25.05" customHeight="1" thickBot="1">
      <c r="A1" s="323"/>
      <c r="B1" s="323"/>
      <c r="C1" s="323"/>
      <c r="D1" s="323"/>
      <c r="E1" s="323"/>
      <c r="F1" s="323"/>
      <c r="G1" s="323"/>
      <c r="H1" s="323"/>
      <c r="I1" s="524" t="s">
        <v>120</v>
      </c>
      <c r="J1" s="579">
        <f>'Nota de venta'!H1</f>
        <v>0</v>
      </c>
      <c r="K1" s="580"/>
      <c r="L1" s="432"/>
      <c r="M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36" t="s">
        <v>329</v>
      </c>
      <c r="AA1" s="422" t="s">
        <v>61</v>
      </c>
      <c r="AB1" s="323"/>
      <c r="AC1" s="323"/>
      <c r="AD1" s="323"/>
      <c r="AE1" s="323"/>
      <c r="AF1" s="323"/>
    </row>
    <row r="2" spans="1:32" ht="16.05" customHeight="1" thickBot="1">
      <c r="A2" s="323"/>
      <c r="C2" s="323"/>
      <c r="D2" s="572">
        <f>'Nota de venta'!C112</f>
        <v>0</v>
      </c>
      <c r="E2" s="573"/>
      <c r="F2" s="573"/>
      <c r="G2" s="574"/>
      <c r="H2" s="323"/>
      <c r="I2" s="524"/>
      <c r="J2" s="581"/>
      <c r="K2" s="582"/>
      <c r="L2" s="432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36" t="s">
        <v>330</v>
      </c>
      <c r="AA2" s="336" t="s">
        <v>178</v>
      </c>
      <c r="AB2" s="323"/>
      <c r="AC2" s="323"/>
      <c r="AD2" s="323"/>
      <c r="AE2" s="323"/>
      <c r="AF2" s="323"/>
    </row>
    <row r="3" spans="1:32" ht="33" customHeight="1" thickBot="1">
      <c r="A3" s="323"/>
      <c r="C3" s="323"/>
      <c r="D3" s="575"/>
      <c r="E3" s="576"/>
      <c r="F3" s="576"/>
      <c r="G3" s="577"/>
      <c r="I3" s="144" t="s">
        <v>121</v>
      </c>
      <c r="J3" s="570"/>
      <c r="K3" s="571"/>
      <c r="L3" s="420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36"/>
      <c r="AA3" s="336" t="s">
        <v>179</v>
      </c>
      <c r="AB3" s="323"/>
      <c r="AC3" s="323"/>
      <c r="AD3" s="323"/>
      <c r="AE3" s="323"/>
      <c r="AF3" s="323"/>
    </row>
    <row r="4" spans="1:32" ht="32" customHeight="1" thickBot="1">
      <c r="A4" s="323"/>
      <c r="B4" s="323"/>
      <c r="C4" s="323"/>
      <c r="D4" s="323"/>
      <c r="E4" s="323"/>
      <c r="F4" s="323"/>
      <c r="G4" s="559"/>
      <c r="H4" s="560"/>
      <c r="I4" s="144" t="s">
        <v>122</v>
      </c>
      <c r="J4" s="570"/>
      <c r="K4" s="571"/>
      <c r="L4" s="395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36"/>
      <c r="AA4" s="423" t="s">
        <v>176</v>
      </c>
      <c r="AB4" s="323"/>
      <c r="AC4" s="323"/>
      <c r="AD4" s="323"/>
      <c r="AE4" s="323"/>
      <c r="AF4" s="323"/>
    </row>
    <row r="5" spans="1:32" ht="35" customHeight="1" thickBot="1">
      <c r="A5" s="323"/>
      <c r="B5" s="121" t="s">
        <v>123</v>
      </c>
      <c r="C5" s="535">
        <f>'Nota de venta'!C6</f>
        <v>0</v>
      </c>
      <c r="D5" s="536"/>
      <c r="E5" s="536"/>
      <c r="F5" s="578"/>
      <c r="G5" s="323"/>
      <c r="H5" s="323"/>
      <c r="J5" s="323"/>
      <c r="K5" s="323"/>
      <c r="L5" s="323"/>
      <c r="M5" s="421"/>
      <c r="N5" s="323"/>
      <c r="O5" s="323"/>
      <c r="P5" s="323"/>
      <c r="Q5" s="323"/>
      <c r="R5" s="323"/>
      <c r="S5" s="323"/>
      <c r="T5" s="323"/>
      <c r="U5" s="323"/>
      <c r="V5" s="323"/>
      <c r="W5" s="323"/>
      <c r="X5" s="323"/>
      <c r="Y5" s="323"/>
      <c r="Z5" s="336"/>
      <c r="AA5" s="336" t="s">
        <v>177</v>
      </c>
      <c r="AB5" s="323"/>
      <c r="AC5" s="323"/>
      <c r="AD5" s="323"/>
      <c r="AE5" s="323"/>
      <c r="AF5" s="323"/>
    </row>
    <row r="6" spans="1:32" ht="33.75" customHeight="1" thickBot="1">
      <c r="A6" s="323"/>
      <c r="B6" s="555" t="s">
        <v>328</v>
      </c>
      <c r="C6" s="555">
        <f>'Nota de venta'!C114</f>
        <v>0</v>
      </c>
      <c r="D6" s="564"/>
      <c r="E6" s="564"/>
      <c r="F6" s="565"/>
      <c r="G6" s="323"/>
      <c r="H6" s="323"/>
      <c r="I6" s="393" t="s">
        <v>208</v>
      </c>
      <c r="J6" s="568"/>
      <c r="K6" s="569"/>
      <c r="L6" s="419"/>
      <c r="M6" s="323"/>
      <c r="N6" s="323"/>
      <c r="O6" s="323"/>
      <c r="P6" s="323"/>
      <c r="Q6" s="323"/>
      <c r="R6" s="323"/>
      <c r="S6" s="323"/>
      <c r="T6" s="323"/>
      <c r="U6" s="323"/>
      <c r="V6" s="323"/>
      <c r="W6" s="323"/>
      <c r="X6" s="323"/>
      <c r="Y6" s="323"/>
      <c r="Z6" s="336"/>
      <c r="AA6" s="424" t="s">
        <v>260</v>
      </c>
      <c r="AB6" s="323"/>
      <c r="AC6" s="323"/>
      <c r="AD6" s="323"/>
      <c r="AE6" s="323"/>
      <c r="AF6" s="323"/>
    </row>
    <row r="7" spans="1:32" ht="33.4" customHeight="1" thickBot="1">
      <c r="A7" s="323"/>
      <c r="B7" s="556"/>
      <c r="C7" s="556"/>
      <c r="D7" s="566"/>
      <c r="E7" s="566"/>
      <c r="F7" s="567"/>
      <c r="G7" s="418"/>
      <c r="H7" s="418"/>
      <c r="I7" s="309"/>
      <c r="J7" s="537" t="s">
        <v>329</v>
      </c>
      <c r="K7" s="502"/>
      <c r="L7" s="502"/>
      <c r="M7" s="323"/>
      <c r="N7" s="323"/>
      <c r="O7" s="323"/>
      <c r="P7" s="323"/>
      <c r="Q7" s="323"/>
      <c r="R7" s="323"/>
      <c r="S7" s="323"/>
      <c r="T7" s="323"/>
      <c r="U7" s="323"/>
      <c r="V7" s="323"/>
      <c r="W7" s="323"/>
      <c r="X7" s="323"/>
      <c r="Y7" s="323"/>
      <c r="Z7" s="323"/>
      <c r="AA7" s="323"/>
      <c r="AB7" s="323"/>
      <c r="AC7" s="323"/>
      <c r="AD7" s="323"/>
      <c r="AE7" s="323"/>
      <c r="AF7" s="323"/>
    </row>
    <row r="8" spans="1:32" s="119" customFormat="1" ht="50" customHeight="1">
      <c r="A8" s="417"/>
      <c r="B8" s="251" t="s">
        <v>327</v>
      </c>
      <c r="C8" s="252" t="s">
        <v>7</v>
      </c>
      <c r="D8" s="252" t="s">
        <v>149</v>
      </c>
      <c r="E8" s="252" t="s">
        <v>150</v>
      </c>
      <c r="F8" s="253" t="s">
        <v>258</v>
      </c>
      <c r="G8" s="252" t="s">
        <v>205</v>
      </c>
      <c r="H8" s="252" t="s">
        <v>206</v>
      </c>
      <c r="I8" s="252" t="s">
        <v>259</v>
      </c>
      <c r="J8" s="254" t="s">
        <v>257</v>
      </c>
      <c r="K8" s="251" t="s">
        <v>207</v>
      </c>
      <c r="L8" s="253" t="s">
        <v>174</v>
      </c>
      <c r="M8" s="255" t="s">
        <v>175</v>
      </c>
      <c r="N8" s="255" t="s">
        <v>336</v>
      </c>
      <c r="O8" s="59"/>
      <c r="P8" s="408"/>
      <c r="Q8" s="417"/>
      <c r="R8" s="417"/>
      <c r="S8" s="417"/>
      <c r="T8" s="417"/>
      <c r="U8" s="417"/>
      <c r="V8" s="417"/>
      <c r="W8" s="417"/>
      <c r="X8" s="417"/>
      <c r="Y8" s="417"/>
      <c r="Z8" s="417"/>
      <c r="AA8" s="417"/>
      <c r="AB8" s="417"/>
      <c r="AC8" s="417"/>
      <c r="AD8" s="417"/>
      <c r="AE8" s="417"/>
      <c r="AF8" s="417"/>
    </row>
    <row r="9" spans="1:32" s="119" customFormat="1" ht="48" customHeight="1">
      <c r="A9" s="417">
        <v>1</v>
      </c>
      <c r="B9" s="310">
        <f>'Nota de venta'!C10</f>
        <v>0</v>
      </c>
      <c r="C9" s="311">
        <f>'Nota de venta'!G10</f>
        <v>0</v>
      </c>
      <c r="D9" s="320">
        <f>'Nota de venta'!E10</f>
        <v>0</v>
      </c>
      <c r="E9" s="320">
        <f>'Nota de venta'!F10</f>
        <v>0</v>
      </c>
      <c r="F9" s="321">
        <v>1.5</v>
      </c>
      <c r="G9" s="312">
        <f>TablaOpTelas[[#This Row],[ANCHO]]+(TablaOpTelas[[#This Row],[exc cms x lado]]/100)*2</f>
        <v>0.03</v>
      </c>
      <c r="H9" s="312">
        <f>TablaOpTelas[[#This Row],[ALTO]]+(TablaOpTelas[[#This Row],[exc cms x lado]]/100)*2</f>
        <v>0.03</v>
      </c>
      <c r="I9" s="312">
        <f>TablaOpTelas[[#This Row],[ancho final]]*TablaOpTelas[[#This Row],[alto final]]</f>
        <v>8.9999999999999998E-4</v>
      </c>
      <c r="J9" s="313">
        <f>TablaOpTelas[[#This Row],[m2 unit]]*TablaOpTelas[[#This Row],['#]]</f>
        <v>0</v>
      </c>
      <c r="K9" s="314">
        <f>TablaOpTelas[[#This Row],[ANCHO]]*TablaOpTelas[[#This Row],[ALTO]]*$J$6</f>
        <v>0</v>
      </c>
      <c r="L9" s="315">
        <f>IF($J$7="CAJA TERMINADA",TablaOpTelas[[#This Row],[ANCHO]]+0.013,TablaOpTelas[[#This Row],[ANCHO]]+0.023)</f>
        <v>1.2999999999999999E-2</v>
      </c>
      <c r="M9" s="316">
        <f>IF($J$7="CAJA TERMINADA",TablaOpTelas[[#This Row],[ALTO]]+0.013,TablaOpTelas[[#This Row],[ALTO]]+0.023)</f>
        <v>1.2999999999999999E-2</v>
      </c>
      <c r="N9" s="433" t="str">
        <f>'Nota de venta'!L10</f>
        <v>Tema</v>
      </c>
      <c r="O9" s="417"/>
      <c r="P9" s="417"/>
      <c r="Q9" s="417"/>
      <c r="R9" s="417"/>
      <c r="S9" s="417"/>
      <c r="T9" s="417"/>
      <c r="U9" s="417"/>
      <c r="V9" s="417"/>
      <c r="W9" s="417"/>
      <c r="X9" s="417"/>
      <c r="Y9" s="417"/>
      <c r="Z9" s="417"/>
      <c r="AA9" s="417"/>
      <c r="AB9" s="417"/>
      <c r="AC9" s="417"/>
      <c r="AD9" s="417"/>
      <c r="AE9" s="417"/>
      <c r="AF9" s="417"/>
    </row>
    <row r="10" spans="1:32" s="119" customFormat="1" ht="48" customHeight="1">
      <c r="A10" s="417">
        <v>2</v>
      </c>
      <c r="B10" s="310">
        <f>'Nota de venta'!C11</f>
        <v>0</v>
      </c>
      <c r="C10" s="311">
        <f>'Nota de venta'!G11</f>
        <v>0</v>
      </c>
      <c r="D10" s="320">
        <f>'Nota de venta'!E11</f>
        <v>0</v>
      </c>
      <c r="E10" s="320">
        <f>'Nota de venta'!F11</f>
        <v>0</v>
      </c>
      <c r="F10" s="321">
        <v>1.5</v>
      </c>
      <c r="G10" s="312">
        <f>TablaOpTelas[[#This Row],[ANCHO]]+(TablaOpTelas[[#This Row],[exc cms x lado]]/100)*2</f>
        <v>0.03</v>
      </c>
      <c r="H10" s="312">
        <f>TablaOpTelas[[#This Row],[ALTO]]+(TablaOpTelas[[#This Row],[exc cms x lado]]/100)*2</f>
        <v>0.03</v>
      </c>
      <c r="I10" s="312">
        <f>TablaOpTelas[[#This Row],[ancho final]]*TablaOpTelas[[#This Row],[alto final]]</f>
        <v>8.9999999999999998E-4</v>
      </c>
      <c r="J10" s="312">
        <f>TablaOpTelas[[#This Row],[m2 unit]]*TablaOpTelas[[#This Row],['#]]</f>
        <v>0</v>
      </c>
      <c r="K10" s="314">
        <f>TablaOpTelas[[#This Row],[ANCHO]]*TablaOpTelas[[#This Row],[ALTO]]*$J$6</f>
        <v>0</v>
      </c>
      <c r="L10" s="315">
        <f>IF($J$7="CAJA TERMINADA",TablaOpTelas[[#This Row],[ANCHO]]+0.013,TablaOpTelas[[#This Row],[ANCHO]]+0.023)</f>
        <v>1.2999999999999999E-2</v>
      </c>
      <c r="M10" s="316">
        <f>IF($J$7="CAJA TERMINADA",TablaOpTelas[[#This Row],[ALTO]]+0.013,TablaOpTelas[[#This Row],[ALTO]]+0.023)</f>
        <v>1.2999999999999999E-2</v>
      </c>
      <c r="N10" s="433">
        <f>'Nota de venta'!L11</f>
        <v>0</v>
      </c>
      <c r="O10" s="417"/>
      <c r="P10" s="417"/>
      <c r="Q10" s="417"/>
      <c r="R10" s="417"/>
      <c r="S10" s="417"/>
      <c r="T10" s="417"/>
      <c r="U10" s="417"/>
      <c r="V10" s="417"/>
      <c r="W10" s="417"/>
      <c r="X10" s="417"/>
      <c r="Y10" s="417"/>
      <c r="Z10" s="417"/>
      <c r="AA10" s="417"/>
      <c r="AB10" s="417"/>
      <c r="AC10" s="417"/>
      <c r="AD10" s="417"/>
      <c r="AE10" s="417"/>
      <c r="AF10" s="417"/>
    </row>
    <row r="11" spans="1:32" s="119" customFormat="1" ht="48" customHeight="1">
      <c r="A11" s="417">
        <v>3</v>
      </c>
      <c r="B11" s="310">
        <f>'Nota de venta'!C12</f>
        <v>0</v>
      </c>
      <c r="C11" s="311">
        <f>'Nota de venta'!G12</f>
        <v>0</v>
      </c>
      <c r="D11" s="320">
        <f>'Nota de venta'!E12</f>
        <v>0</v>
      </c>
      <c r="E11" s="320">
        <f>'Nota de venta'!F12</f>
        <v>0</v>
      </c>
      <c r="F11" s="321">
        <v>1.5</v>
      </c>
      <c r="G11" s="312">
        <f>TablaOpTelas[[#This Row],[ANCHO]]+(TablaOpTelas[[#This Row],[exc cms x lado]]/100)*2</f>
        <v>0.03</v>
      </c>
      <c r="H11" s="312">
        <f>TablaOpTelas[[#This Row],[ALTO]]+(TablaOpTelas[[#This Row],[exc cms x lado]]/100)*2</f>
        <v>0.03</v>
      </c>
      <c r="I11" s="312">
        <f>TablaOpTelas[[#This Row],[ancho final]]*TablaOpTelas[[#This Row],[alto final]]</f>
        <v>8.9999999999999998E-4</v>
      </c>
      <c r="J11" s="312">
        <f>TablaOpTelas[[#This Row],[m2 unit]]*TablaOpTelas[[#This Row],['#]]</f>
        <v>0</v>
      </c>
      <c r="K11" s="314">
        <f>TablaOpTelas[[#This Row],[ANCHO]]*TablaOpTelas[[#This Row],[ALTO]]*$J$6</f>
        <v>0</v>
      </c>
      <c r="L11" s="315">
        <f>IF($J$7="CAJA TERMINADA",TablaOpTelas[[#This Row],[ANCHO]]+0.013,TablaOpTelas[[#This Row],[ANCHO]]+0.023)</f>
        <v>1.2999999999999999E-2</v>
      </c>
      <c r="M11" s="316">
        <f>IF($J$7="CAJA TERMINADA",TablaOpTelas[[#This Row],[ALTO]]+0.013,TablaOpTelas[[#This Row],[ALTO]]+0.023)</f>
        <v>1.2999999999999999E-2</v>
      </c>
      <c r="N11" s="433">
        <f>'Nota de venta'!L12</f>
        <v>0</v>
      </c>
      <c r="O11" s="417"/>
      <c r="P11" s="417"/>
      <c r="Q11" s="417"/>
      <c r="R11" s="417"/>
      <c r="S11" s="417"/>
      <c r="T11" s="417"/>
      <c r="U11" s="417"/>
      <c r="V11" s="417"/>
      <c r="W11" s="417"/>
      <c r="X11" s="417"/>
      <c r="Y11" s="417"/>
      <c r="Z11" s="417"/>
      <c r="AA11" s="417"/>
      <c r="AB11" s="417"/>
      <c r="AC11" s="417"/>
      <c r="AD11" s="417"/>
      <c r="AE11" s="417"/>
      <c r="AF11" s="417"/>
    </row>
    <row r="12" spans="1:32" s="119" customFormat="1" ht="48" customHeight="1">
      <c r="A12" s="417">
        <v>4</v>
      </c>
      <c r="B12" s="310">
        <f>'Nota de venta'!C13</f>
        <v>0</v>
      </c>
      <c r="C12" s="311">
        <f>'Nota de venta'!G13</f>
        <v>0</v>
      </c>
      <c r="D12" s="320">
        <f>'Nota de venta'!E13</f>
        <v>0</v>
      </c>
      <c r="E12" s="320">
        <f>'Nota de venta'!F13</f>
        <v>0</v>
      </c>
      <c r="F12" s="321">
        <v>1.5</v>
      </c>
      <c r="G12" s="312">
        <f>TablaOpTelas[[#This Row],[ANCHO]]+(TablaOpTelas[[#This Row],[exc cms x lado]]/100)*2</f>
        <v>0.03</v>
      </c>
      <c r="H12" s="312">
        <f>TablaOpTelas[[#This Row],[ALTO]]+(TablaOpTelas[[#This Row],[exc cms x lado]]/100)*2</f>
        <v>0.03</v>
      </c>
      <c r="I12" s="312">
        <f>TablaOpTelas[[#This Row],[ancho final]]*TablaOpTelas[[#This Row],[alto final]]</f>
        <v>8.9999999999999998E-4</v>
      </c>
      <c r="J12" s="312">
        <f>TablaOpTelas[[#This Row],[m2 unit]]*TablaOpTelas[[#This Row],['#]]</f>
        <v>0</v>
      </c>
      <c r="K12" s="314">
        <f>TablaOpTelas[[#This Row],[ANCHO]]*TablaOpTelas[[#This Row],[ALTO]]*$J$6</f>
        <v>0</v>
      </c>
      <c r="L12" s="315">
        <f>IF($J$7="CAJA TERMINADA",TablaOpTelas[[#This Row],[ANCHO]]+0.013,TablaOpTelas[[#This Row],[ANCHO]]+0.023)</f>
        <v>1.2999999999999999E-2</v>
      </c>
      <c r="M12" s="316">
        <f>IF($J$7="CAJA TERMINADA",TablaOpTelas[[#This Row],[ALTO]]+0.013,TablaOpTelas[[#This Row],[ALTO]]+0.023)</f>
        <v>1.2999999999999999E-2</v>
      </c>
      <c r="N12" s="433">
        <f>'Nota de venta'!L13</f>
        <v>0</v>
      </c>
      <c r="O12" s="417"/>
      <c r="P12" s="417"/>
      <c r="Q12" s="417"/>
      <c r="R12" s="417"/>
      <c r="S12" s="417"/>
      <c r="T12" s="417"/>
      <c r="U12" s="417"/>
      <c r="V12" s="417"/>
      <c r="W12" s="417"/>
      <c r="X12" s="417"/>
      <c r="Y12" s="417"/>
      <c r="Z12" s="417"/>
      <c r="AA12" s="417"/>
      <c r="AB12" s="417"/>
      <c r="AC12" s="417"/>
      <c r="AD12" s="417"/>
      <c r="AE12" s="417"/>
      <c r="AF12" s="417"/>
    </row>
    <row r="13" spans="1:32" s="119" customFormat="1" ht="48" customHeight="1">
      <c r="A13" s="417">
        <v>5</v>
      </c>
      <c r="B13" s="310">
        <f>'Nota de venta'!C14</f>
        <v>0</v>
      </c>
      <c r="C13" s="311">
        <f>'Nota de venta'!G14</f>
        <v>0</v>
      </c>
      <c r="D13" s="320">
        <f>'Nota de venta'!E14</f>
        <v>0</v>
      </c>
      <c r="E13" s="320">
        <f>'Nota de venta'!F14</f>
        <v>0</v>
      </c>
      <c r="F13" s="321">
        <v>1.5</v>
      </c>
      <c r="G13" s="312">
        <f>TablaOpTelas[[#This Row],[ANCHO]]+(TablaOpTelas[[#This Row],[exc cms x lado]]/100)*2</f>
        <v>0.03</v>
      </c>
      <c r="H13" s="312">
        <f>TablaOpTelas[[#This Row],[ALTO]]+(TablaOpTelas[[#This Row],[exc cms x lado]]/100)*2</f>
        <v>0.03</v>
      </c>
      <c r="I13" s="312">
        <f>TablaOpTelas[[#This Row],[ancho final]]*TablaOpTelas[[#This Row],[alto final]]</f>
        <v>8.9999999999999998E-4</v>
      </c>
      <c r="J13" s="312">
        <f>TablaOpTelas[[#This Row],[m2 unit]]*TablaOpTelas[[#This Row],['#]]</f>
        <v>0</v>
      </c>
      <c r="K13" s="314">
        <f>TablaOpTelas[[#This Row],[ANCHO]]*TablaOpTelas[[#This Row],[ALTO]]*$J$6</f>
        <v>0</v>
      </c>
      <c r="L13" s="315">
        <f>IF($J$7="CAJA TERMINADA",TablaOpTelas[[#This Row],[ANCHO]]+0.013,TablaOpTelas[[#This Row],[ANCHO]]+0.023)</f>
        <v>1.2999999999999999E-2</v>
      </c>
      <c r="M13" s="316">
        <f>IF($J$7="CAJA TERMINADA",TablaOpTelas[[#This Row],[ALTO]]+0.013,TablaOpTelas[[#This Row],[ALTO]]+0.023)</f>
        <v>1.2999999999999999E-2</v>
      </c>
      <c r="N13" s="433">
        <f>'Nota de venta'!L14</f>
        <v>0</v>
      </c>
      <c r="O13" s="417"/>
      <c r="P13" s="417"/>
      <c r="Q13" s="417"/>
      <c r="R13" s="417"/>
      <c r="S13" s="417"/>
      <c r="T13" s="417"/>
      <c r="U13" s="417"/>
      <c r="V13" s="417"/>
      <c r="W13" s="417"/>
      <c r="X13" s="417"/>
      <c r="Y13" s="417"/>
      <c r="Z13" s="417"/>
      <c r="AA13" s="417"/>
      <c r="AB13" s="417"/>
      <c r="AC13" s="417"/>
      <c r="AD13" s="417"/>
      <c r="AE13" s="417"/>
      <c r="AF13" s="417"/>
    </row>
    <row r="14" spans="1:32" s="119" customFormat="1" ht="48" customHeight="1">
      <c r="A14" s="417">
        <v>6</v>
      </c>
      <c r="B14" s="310">
        <f>'Nota de venta'!C15</f>
        <v>0</v>
      </c>
      <c r="C14" s="311">
        <f>'Nota de venta'!G15</f>
        <v>0</v>
      </c>
      <c r="D14" s="320">
        <f>'Nota de venta'!E15</f>
        <v>0</v>
      </c>
      <c r="E14" s="320">
        <f>'Nota de venta'!F15</f>
        <v>0</v>
      </c>
      <c r="F14" s="321">
        <v>1.5</v>
      </c>
      <c r="G14" s="312">
        <f>TablaOpTelas[[#This Row],[ANCHO]]+(TablaOpTelas[[#This Row],[exc cms x lado]]/100)*2</f>
        <v>0.03</v>
      </c>
      <c r="H14" s="312">
        <f>TablaOpTelas[[#This Row],[ALTO]]+(TablaOpTelas[[#This Row],[exc cms x lado]]/100)*2</f>
        <v>0.03</v>
      </c>
      <c r="I14" s="312">
        <f>TablaOpTelas[[#This Row],[ancho final]]*TablaOpTelas[[#This Row],[alto final]]</f>
        <v>8.9999999999999998E-4</v>
      </c>
      <c r="J14" s="312">
        <f>TablaOpTelas[[#This Row],[m2 unit]]*TablaOpTelas[[#This Row],['#]]</f>
        <v>0</v>
      </c>
      <c r="K14" s="314">
        <f>TablaOpTelas[[#This Row],[ANCHO]]*TablaOpTelas[[#This Row],[ALTO]]*$J$6</f>
        <v>0</v>
      </c>
      <c r="L14" s="315">
        <f>IF($J$7="CAJA TERMINADA",TablaOpTelas[[#This Row],[ANCHO]]+0.013,TablaOpTelas[[#This Row],[ANCHO]]+0.023)</f>
        <v>1.2999999999999999E-2</v>
      </c>
      <c r="M14" s="316">
        <f>IF($J$7="CAJA TERMINADA",TablaOpTelas[[#This Row],[ALTO]]+0.013,TablaOpTelas[[#This Row],[ALTO]]+0.023)</f>
        <v>1.2999999999999999E-2</v>
      </c>
      <c r="N14" s="433">
        <f>'Nota de venta'!L15</f>
        <v>0</v>
      </c>
      <c r="O14" s="417"/>
      <c r="P14" s="417"/>
      <c r="Q14" s="417"/>
      <c r="R14" s="417"/>
      <c r="S14" s="417"/>
      <c r="T14" s="417"/>
      <c r="U14" s="417"/>
      <c r="V14" s="417"/>
      <c r="W14" s="417"/>
      <c r="X14" s="417"/>
      <c r="Y14" s="417"/>
      <c r="Z14" s="417"/>
      <c r="AA14" s="417"/>
      <c r="AB14" s="417"/>
      <c r="AC14" s="417"/>
      <c r="AD14" s="417"/>
      <c r="AE14" s="417"/>
      <c r="AF14" s="417"/>
    </row>
    <row r="15" spans="1:32" s="119" customFormat="1" ht="48" customHeight="1">
      <c r="A15" s="417">
        <v>7</v>
      </c>
      <c r="B15" s="310">
        <f>'Nota de venta'!C16</f>
        <v>0</v>
      </c>
      <c r="C15" s="311">
        <f>'Nota de venta'!G16</f>
        <v>0</v>
      </c>
      <c r="D15" s="320">
        <f>'Nota de venta'!E16</f>
        <v>0</v>
      </c>
      <c r="E15" s="320">
        <f>'Nota de venta'!F16</f>
        <v>0</v>
      </c>
      <c r="F15" s="321">
        <v>1.5</v>
      </c>
      <c r="G15" s="312">
        <f>TablaOpTelas[[#This Row],[ANCHO]]+(TablaOpTelas[[#This Row],[exc cms x lado]]/100)*2</f>
        <v>0.03</v>
      </c>
      <c r="H15" s="312">
        <f>TablaOpTelas[[#This Row],[ALTO]]+(TablaOpTelas[[#This Row],[exc cms x lado]]/100)*2</f>
        <v>0.03</v>
      </c>
      <c r="I15" s="312">
        <f>TablaOpTelas[[#This Row],[ancho final]]*TablaOpTelas[[#This Row],[alto final]]</f>
        <v>8.9999999999999998E-4</v>
      </c>
      <c r="J15" s="312">
        <f>TablaOpTelas[[#This Row],[m2 unit]]*TablaOpTelas[[#This Row],['#]]</f>
        <v>0</v>
      </c>
      <c r="K15" s="314">
        <f>TablaOpTelas[[#This Row],[ANCHO]]*TablaOpTelas[[#This Row],[ALTO]]*$J$6</f>
        <v>0</v>
      </c>
      <c r="L15" s="315">
        <f>IF($J$7="CAJA TERMINADA",TablaOpTelas[[#This Row],[ANCHO]]+0.013,TablaOpTelas[[#This Row],[ANCHO]]+0.023)</f>
        <v>1.2999999999999999E-2</v>
      </c>
      <c r="M15" s="316">
        <f>IF($J$7="CAJA TERMINADA",TablaOpTelas[[#This Row],[ALTO]]+0.013,TablaOpTelas[[#This Row],[ALTO]]+0.023)</f>
        <v>1.2999999999999999E-2</v>
      </c>
      <c r="N15" s="433">
        <f>'Nota de venta'!L16</f>
        <v>0</v>
      </c>
      <c r="O15" s="417"/>
      <c r="P15" s="417"/>
      <c r="Q15" s="417"/>
      <c r="R15" s="417"/>
      <c r="S15" s="417"/>
      <c r="T15" s="417"/>
      <c r="U15" s="417"/>
      <c r="V15" s="417"/>
      <c r="W15" s="417"/>
      <c r="X15" s="417"/>
      <c r="Y15" s="417"/>
      <c r="Z15" s="417"/>
      <c r="AA15" s="417"/>
      <c r="AB15" s="417"/>
      <c r="AC15" s="417"/>
      <c r="AD15" s="417"/>
      <c r="AE15" s="417"/>
      <c r="AF15" s="417"/>
    </row>
    <row r="16" spans="1:32" s="119" customFormat="1" ht="48" customHeight="1">
      <c r="A16" s="417">
        <v>8</v>
      </c>
      <c r="B16" s="310">
        <f>'Nota de venta'!C17</f>
        <v>0</v>
      </c>
      <c r="C16" s="311">
        <f>'Nota de venta'!G17</f>
        <v>0</v>
      </c>
      <c r="D16" s="320">
        <f>'Nota de venta'!E17</f>
        <v>0</v>
      </c>
      <c r="E16" s="320">
        <f>'Nota de venta'!F17</f>
        <v>0</v>
      </c>
      <c r="F16" s="321">
        <v>1.5</v>
      </c>
      <c r="G16" s="312">
        <f>TablaOpTelas[[#This Row],[ANCHO]]+(TablaOpTelas[[#This Row],[exc cms x lado]]/100)*2</f>
        <v>0.03</v>
      </c>
      <c r="H16" s="312">
        <f>TablaOpTelas[[#This Row],[ALTO]]+(TablaOpTelas[[#This Row],[exc cms x lado]]/100)*2</f>
        <v>0.03</v>
      </c>
      <c r="I16" s="312">
        <f>TablaOpTelas[[#This Row],[ancho final]]*TablaOpTelas[[#This Row],[alto final]]</f>
        <v>8.9999999999999998E-4</v>
      </c>
      <c r="J16" s="312">
        <f>TablaOpTelas[[#This Row],[m2 unit]]*TablaOpTelas[[#This Row],['#]]</f>
        <v>0</v>
      </c>
      <c r="K16" s="314">
        <f>TablaOpTelas[[#This Row],[ANCHO]]*TablaOpTelas[[#This Row],[ALTO]]*$J$6</f>
        <v>0</v>
      </c>
      <c r="L16" s="315">
        <f>IF($J$7="CAJA TERMINADA",TablaOpTelas[[#This Row],[ANCHO]]+0.013,TablaOpTelas[[#This Row],[ANCHO]]+0.023)</f>
        <v>1.2999999999999999E-2</v>
      </c>
      <c r="M16" s="316">
        <f>IF($J$7="CAJA TERMINADA",TablaOpTelas[[#This Row],[ALTO]]+0.013,TablaOpTelas[[#This Row],[ALTO]]+0.023)</f>
        <v>1.2999999999999999E-2</v>
      </c>
      <c r="N16" s="433">
        <f>'Nota de venta'!L17</f>
        <v>0</v>
      </c>
      <c r="O16" s="417"/>
      <c r="P16" s="417"/>
      <c r="Q16" s="417"/>
      <c r="R16" s="417"/>
      <c r="S16" s="417"/>
      <c r="T16" s="417"/>
      <c r="U16" s="417"/>
      <c r="V16" s="417"/>
      <c r="W16" s="417"/>
      <c r="X16" s="417"/>
      <c r="Y16" s="417"/>
      <c r="Z16" s="417"/>
      <c r="AA16" s="417"/>
      <c r="AB16" s="417"/>
      <c r="AC16" s="417"/>
      <c r="AD16" s="417"/>
      <c r="AE16" s="417"/>
      <c r="AF16" s="417"/>
    </row>
    <row r="17" spans="1:32" s="119" customFormat="1" ht="48" customHeight="1">
      <c r="A17" s="417">
        <v>9</v>
      </c>
      <c r="B17" s="310">
        <f>'Nota de venta'!C18</f>
        <v>0</v>
      </c>
      <c r="C17" s="311">
        <f>'Nota de venta'!G18</f>
        <v>0</v>
      </c>
      <c r="D17" s="320">
        <f>'Nota de venta'!E18</f>
        <v>0</v>
      </c>
      <c r="E17" s="320">
        <f>'Nota de venta'!F18</f>
        <v>0</v>
      </c>
      <c r="F17" s="321">
        <v>1.5</v>
      </c>
      <c r="G17" s="312">
        <f>TablaOpTelas[[#This Row],[ANCHO]]+(TablaOpTelas[[#This Row],[exc cms x lado]]/100)*2</f>
        <v>0.03</v>
      </c>
      <c r="H17" s="312">
        <f>TablaOpTelas[[#This Row],[ALTO]]+(TablaOpTelas[[#This Row],[exc cms x lado]]/100)*2</f>
        <v>0.03</v>
      </c>
      <c r="I17" s="312">
        <f>TablaOpTelas[[#This Row],[ancho final]]*TablaOpTelas[[#This Row],[alto final]]</f>
        <v>8.9999999999999998E-4</v>
      </c>
      <c r="J17" s="312">
        <f>TablaOpTelas[[#This Row],[m2 unit]]*TablaOpTelas[[#This Row],['#]]</f>
        <v>0</v>
      </c>
      <c r="K17" s="314">
        <f>TablaOpTelas[[#This Row],[ANCHO]]*TablaOpTelas[[#This Row],[ALTO]]*$J$6</f>
        <v>0</v>
      </c>
      <c r="L17" s="315">
        <f>IF($J$7="CAJA TERMINADA",TablaOpTelas[[#This Row],[ANCHO]]+0.013,TablaOpTelas[[#This Row],[ANCHO]]+0.023)</f>
        <v>1.2999999999999999E-2</v>
      </c>
      <c r="M17" s="316">
        <f>IF($J$7="CAJA TERMINADA",TablaOpTelas[[#This Row],[ALTO]]+0.013,TablaOpTelas[[#This Row],[ALTO]]+0.023)</f>
        <v>1.2999999999999999E-2</v>
      </c>
      <c r="N17" s="433">
        <f>'Nota de venta'!L18</f>
        <v>0</v>
      </c>
      <c r="O17" s="417"/>
      <c r="P17" s="417"/>
      <c r="Q17" s="417"/>
      <c r="R17" s="417"/>
      <c r="S17" s="417"/>
      <c r="T17" s="417"/>
      <c r="U17" s="417"/>
      <c r="V17" s="417"/>
      <c r="W17" s="417"/>
      <c r="X17" s="417"/>
      <c r="Y17" s="417"/>
      <c r="Z17" s="417"/>
      <c r="AA17" s="417"/>
      <c r="AB17" s="417"/>
      <c r="AC17" s="417"/>
      <c r="AD17" s="417"/>
      <c r="AE17" s="417"/>
      <c r="AF17" s="417"/>
    </row>
    <row r="18" spans="1:32" s="119" customFormat="1" ht="48" customHeight="1">
      <c r="A18" s="417">
        <v>10</v>
      </c>
      <c r="B18" s="310">
        <f>'Nota de venta'!C19</f>
        <v>0</v>
      </c>
      <c r="C18" s="311">
        <f>'Nota de venta'!G19</f>
        <v>0</v>
      </c>
      <c r="D18" s="320">
        <f>'Nota de venta'!E19</f>
        <v>0</v>
      </c>
      <c r="E18" s="320">
        <f>'Nota de venta'!F19</f>
        <v>0</v>
      </c>
      <c r="F18" s="321">
        <v>1.5</v>
      </c>
      <c r="G18" s="312">
        <f>TablaOpTelas[[#This Row],[ANCHO]]+(TablaOpTelas[[#This Row],[exc cms x lado]]/100)*2</f>
        <v>0.03</v>
      </c>
      <c r="H18" s="312">
        <f>TablaOpTelas[[#This Row],[ALTO]]+(TablaOpTelas[[#This Row],[exc cms x lado]]/100)*2</f>
        <v>0.03</v>
      </c>
      <c r="I18" s="312">
        <f>TablaOpTelas[[#This Row],[ancho final]]*TablaOpTelas[[#This Row],[alto final]]</f>
        <v>8.9999999999999998E-4</v>
      </c>
      <c r="J18" s="312">
        <f>TablaOpTelas[[#This Row],[m2 unit]]*TablaOpTelas[[#This Row],['#]]</f>
        <v>0</v>
      </c>
      <c r="K18" s="314">
        <f>TablaOpTelas[[#This Row],[ANCHO]]*TablaOpTelas[[#This Row],[ALTO]]*$J$6</f>
        <v>0</v>
      </c>
      <c r="L18" s="315">
        <f>IF($J$7="CAJA TERMINADA",TablaOpTelas[[#This Row],[ANCHO]]+0.013,TablaOpTelas[[#This Row],[ANCHO]]+0.023)</f>
        <v>1.2999999999999999E-2</v>
      </c>
      <c r="M18" s="316">
        <f>IF($J$7="CAJA TERMINADA",TablaOpTelas[[#This Row],[ALTO]]+0.013,TablaOpTelas[[#This Row],[ALTO]]+0.023)</f>
        <v>1.2999999999999999E-2</v>
      </c>
      <c r="N18" s="433">
        <f>'Nota de venta'!L19</f>
        <v>0</v>
      </c>
      <c r="O18" s="417"/>
      <c r="P18" s="417"/>
      <c r="Q18" s="417"/>
      <c r="R18" s="417"/>
      <c r="S18" s="417"/>
      <c r="T18" s="417"/>
      <c r="U18" s="417"/>
      <c r="V18" s="417"/>
      <c r="W18" s="417"/>
      <c r="X18" s="417"/>
      <c r="Y18" s="417"/>
      <c r="Z18" s="417"/>
      <c r="AA18" s="417"/>
      <c r="AB18" s="417"/>
      <c r="AC18" s="417"/>
      <c r="AD18" s="417"/>
      <c r="AE18" s="417"/>
      <c r="AF18" s="417"/>
    </row>
    <row r="19" spans="1:32" s="119" customFormat="1" ht="48" customHeight="1">
      <c r="A19" s="417">
        <v>11</v>
      </c>
      <c r="B19" s="310">
        <f>'Nota de venta'!C20</f>
        <v>0</v>
      </c>
      <c r="C19" s="311">
        <f>'Nota de venta'!G20</f>
        <v>0</v>
      </c>
      <c r="D19" s="320">
        <f>'Nota de venta'!E20</f>
        <v>0</v>
      </c>
      <c r="E19" s="320">
        <f>'Nota de venta'!F20</f>
        <v>0</v>
      </c>
      <c r="F19" s="321">
        <v>1.5</v>
      </c>
      <c r="G19" s="312">
        <f>TablaOpTelas[[#This Row],[ANCHO]]+(TablaOpTelas[[#This Row],[exc cms x lado]]/100)*2</f>
        <v>0.03</v>
      </c>
      <c r="H19" s="312">
        <f>TablaOpTelas[[#This Row],[ALTO]]+(TablaOpTelas[[#This Row],[exc cms x lado]]/100)*2</f>
        <v>0.03</v>
      </c>
      <c r="I19" s="312">
        <f>TablaOpTelas[[#This Row],[ancho final]]*TablaOpTelas[[#This Row],[alto final]]</f>
        <v>8.9999999999999998E-4</v>
      </c>
      <c r="J19" s="312">
        <f>TablaOpTelas[[#This Row],[m2 unit]]*TablaOpTelas[[#This Row],['#]]</f>
        <v>0</v>
      </c>
      <c r="K19" s="314">
        <f>TablaOpTelas[[#This Row],[ANCHO]]*TablaOpTelas[[#This Row],[ALTO]]*$J$6</f>
        <v>0</v>
      </c>
      <c r="L19" s="315">
        <f>IF($J$7="CAJA TERMINADA",TablaOpTelas[[#This Row],[ANCHO]]+0.013,TablaOpTelas[[#This Row],[ANCHO]]+0.023)</f>
        <v>1.2999999999999999E-2</v>
      </c>
      <c r="M19" s="316">
        <f>IF($J$7="CAJA TERMINADA",TablaOpTelas[[#This Row],[ALTO]]+0.013,TablaOpTelas[[#This Row],[ALTO]]+0.023)</f>
        <v>1.2999999999999999E-2</v>
      </c>
      <c r="N19" s="433">
        <f>'Nota de venta'!L20</f>
        <v>0</v>
      </c>
      <c r="O19" s="417"/>
      <c r="P19" s="417"/>
      <c r="Q19" s="417"/>
      <c r="R19" s="417"/>
      <c r="S19" s="417"/>
      <c r="T19" s="417"/>
      <c r="U19" s="417"/>
      <c r="V19" s="417"/>
      <c r="W19" s="417"/>
      <c r="X19" s="417"/>
      <c r="Y19" s="417"/>
      <c r="Z19" s="417"/>
      <c r="AA19" s="417"/>
      <c r="AB19" s="417"/>
      <c r="AC19" s="417"/>
      <c r="AD19" s="417"/>
      <c r="AE19" s="417"/>
      <c r="AF19" s="417"/>
    </row>
    <row r="20" spans="1:32" s="119" customFormat="1" ht="48" customHeight="1">
      <c r="A20" s="417">
        <v>12</v>
      </c>
      <c r="B20" s="310">
        <f>'Nota de venta'!C21</f>
        <v>0</v>
      </c>
      <c r="C20" s="311">
        <f>'Nota de venta'!G21</f>
        <v>0</v>
      </c>
      <c r="D20" s="320">
        <f>'Nota de venta'!E21</f>
        <v>0</v>
      </c>
      <c r="E20" s="320">
        <f>'Nota de venta'!F21</f>
        <v>0</v>
      </c>
      <c r="F20" s="321">
        <v>1.5</v>
      </c>
      <c r="G20" s="312">
        <f>TablaOpTelas[[#This Row],[ANCHO]]+(TablaOpTelas[[#This Row],[exc cms x lado]]/100)*2</f>
        <v>0.03</v>
      </c>
      <c r="H20" s="312">
        <f>TablaOpTelas[[#This Row],[ALTO]]+(TablaOpTelas[[#This Row],[exc cms x lado]]/100)*2</f>
        <v>0.03</v>
      </c>
      <c r="I20" s="312">
        <f>TablaOpTelas[[#This Row],[ancho final]]*TablaOpTelas[[#This Row],[alto final]]</f>
        <v>8.9999999999999998E-4</v>
      </c>
      <c r="J20" s="312">
        <f>TablaOpTelas[[#This Row],[m2 unit]]*TablaOpTelas[[#This Row],['#]]</f>
        <v>0</v>
      </c>
      <c r="K20" s="314">
        <f>TablaOpTelas[[#This Row],[ANCHO]]*TablaOpTelas[[#This Row],[ALTO]]*$J$6</f>
        <v>0</v>
      </c>
      <c r="L20" s="315">
        <f>IF($J$7="CAJA TERMINADA",TablaOpTelas[[#This Row],[ANCHO]]+0.013,TablaOpTelas[[#This Row],[ANCHO]]+0.023)</f>
        <v>1.2999999999999999E-2</v>
      </c>
      <c r="M20" s="316">
        <f>IF($J$7="CAJA TERMINADA",TablaOpTelas[[#This Row],[ALTO]]+0.013,TablaOpTelas[[#This Row],[ALTO]]+0.023)</f>
        <v>1.2999999999999999E-2</v>
      </c>
      <c r="N20" s="433">
        <f>'Nota de venta'!L21</f>
        <v>0</v>
      </c>
      <c r="O20" s="417"/>
      <c r="P20" s="417"/>
      <c r="Q20" s="417"/>
      <c r="R20" s="417"/>
      <c r="S20" s="417"/>
      <c r="T20" s="417"/>
      <c r="U20" s="417"/>
      <c r="V20" s="417"/>
      <c r="W20" s="417"/>
      <c r="X20" s="417"/>
      <c r="Y20" s="417"/>
      <c r="Z20" s="417"/>
      <c r="AA20" s="417"/>
      <c r="AB20" s="417"/>
      <c r="AC20" s="417"/>
      <c r="AD20" s="417"/>
      <c r="AE20" s="417"/>
      <c r="AF20" s="417"/>
    </row>
    <row r="21" spans="1:32" s="119" customFormat="1" ht="48" customHeight="1">
      <c r="A21" s="417">
        <v>13</v>
      </c>
      <c r="B21" s="310">
        <f>'Nota de venta'!C22</f>
        <v>0</v>
      </c>
      <c r="C21" s="311">
        <f>'Nota de venta'!G22</f>
        <v>0</v>
      </c>
      <c r="D21" s="320">
        <f>'Nota de venta'!E22</f>
        <v>0</v>
      </c>
      <c r="E21" s="320">
        <f>'Nota de venta'!F22</f>
        <v>0</v>
      </c>
      <c r="F21" s="321">
        <v>1.5</v>
      </c>
      <c r="G21" s="312">
        <f>TablaOpTelas[[#This Row],[ANCHO]]+(TablaOpTelas[[#This Row],[exc cms x lado]]/100)*2</f>
        <v>0.03</v>
      </c>
      <c r="H21" s="312">
        <f>TablaOpTelas[[#This Row],[ALTO]]+(TablaOpTelas[[#This Row],[exc cms x lado]]/100)*2</f>
        <v>0.03</v>
      </c>
      <c r="I21" s="312">
        <f>TablaOpTelas[[#This Row],[ancho final]]*TablaOpTelas[[#This Row],[alto final]]</f>
        <v>8.9999999999999998E-4</v>
      </c>
      <c r="J21" s="312">
        <f>TablaOpTelas[[#This Row],[m2 unit]]*TablaOpTelas[[#This Row],['#]]</f>
        <v>0</v>
      </c>
      <c r="K21" s="314">
        <f>TablaOpTelas[[#This Row],[ANCHO]]*TablaOpTelas[[#This Row],[ALTO]]*$J$6</f>
        <v>0</v>
      </c>
      <c r="L21" s="315">
        <f>IF($J$7="CAJA TERMINADA",TablaOpTelas[[#This Row],[ANCHO]]+0.013,TablaOpTelas[[#This Row],[ANCHO]]+0.023)</f>
        <v>1.2999999999999999E-2</v>
      </c>
      <c r="M21" s="316">
        <f>IF($J$7="CAJA TERMINADA",TablaOpTelas[[#This Row],[ALTO]]+0.013,TablaOpTelas[[#This Row],[ALTO]]+0.023)</f>
        <v>1.2999999999999999E-2</v>
      </c>
      <c r="N21" s="433">
        <f>'Nota de venta'!L22</f>
        <v>0</v>
      </c>
      <c r="O21" s="417"/>
      <c r="P21" s="417"/>
      <c r="Q21" s="417"/>
      <c r="R21" s="417"/>
      <c r="S21" s="417"/>
      <c r="T21" s="417"/>
      <c r="U21" s="417"/>
      <c r="V21" s="417"/>
      <c r="W21" s="417"/>
      <c r="X21" s="417"/>
      <c r="Y21" s="417"/>
      <c r="Z21" s="417"/>
      <c r="AA21" s="417"/>
      <c r="AB21" s="417"/>
      <c r="AC21" s="417"/>
      <c r="AD21" s="417"/>
      <c r="AE21" s="417"/>
      <c r="AF21" s="417"/>
    </row>
    <row r="22" spans="1:32" s="119" customFormat="1" ht="48" customHeight="1">
      <c r="A22" s="417">
        <v>14</v>
      </c>
      <c r="B22" s="310">
        <f>'Nota de venta'!C23</f>
        <v>0</v>
      </c>
      <c r="C22" s="311">
        <f>'Nota de venta'!G23</f>
        <v>0</v>
      </c>
      <c r="D22" s="320">
        <f>'Nota de venta'!E23</f>
        <v>0</v>
      </c>
      <c r="E22" s="320">
        <f>'Nota de venta'!F23</f>
        <v>0</v>
      </c>
      <c r="F22" s="321">
        <v>1.5</v>
      </c>
      <c r="G22" s="312">
        <f>TablaOpTelas[[#This Row],[ANCHO]]+(TablaOpTelas[[#This Row],[exc cms x lado]]/100)*2</f>
        <v>0.03</v>
      </c>
      <c r="H22" s="312">
        <f>TablaOpTelas[[#This Row],[ALTO]]+(TablaOpTelas[[#This Row],[exc cms x lado]]/100)*2</f>
        <v>0.03</v>
      </c>
      <c r="I22" s="312">
        <f>TablaOpTelas[[#This Row],[ancho final]]*TablaOpTelas[[#This Row],[alto final]]</f>
        <v>8.9999999999999998E-4</v>
      </c>
      <c r="J22" s="312">
        <f>TablaOpTelas[[#This Row],[m2 unit]]*TablaOpTelas[[#This Row],['#]]</f>
        <v>0</v>
      </c>
      <c r="K22" s="314">
        <f>TablaOpTelas[[#This Row],[ANCHO]]*TablaOpTelas[[#This Row],[ALTO]]*$J$6</f>
        <v>0</v>
      </c>
      <c r="L22" s="315">
        <f>IF($J$7="CAJA TERMINADA",TablaOpTelas[[#This Row],[ANCHO]]+0.013,TablaOpTelas[[#This Row],[ANCHO]]+0.023)</f>
        <v>1.2999999999999999E-2</v>
      </c>
      <c r="M22" s="316">
        <f>IF($J$7="CAJA TERMINADA",TablaOpTelas[[#This Row],[ALTO]]+0.013,TablaOpTelas[[#This Row],[ALTO]]+0.023)</f>
        <v>1.2999999999999999E-2</v>
      </c>
      <c r="N22" s="433">
        <f>'Nota de venta'!L23</f>
        <v>0</v>
      </c>
      <c r="O22" s="417"/>
      <c r="P22" s="417"/>
      <c r="Q22" s="417"/>
      <c r="R22" s="417"/>
      <c r="S22" s="417"/>
      <c r="T22" s="417"/>
      <c r="U22" s="417"/>
      <c r="V22" s="417"/>
      <c r="W22" s="417"/>
      <c r="X22" s="417"/>
      <c r="Y22" s="417"/>
      <c r="Z22" s="417"/>
      <c r="AA22" s="417"/>
      <c r="AB22" s="417"/>
      <c r="AC22" s="417"/>
      <c r="AD22" s="417"/>
      <c r="AE22" s="417"/>
      <c r="AF22" s="417"/>
    </row>
    <row r="23" spans="1:32" s="119" customFormat="1" ht="48" customHeight="1">
      <c r="A23" s="417">
        <v>15</v>
      </c>
      <c r="B23" s="310">
        <f>'Nota de venta'!C24</f>
        <v>0</v>
      </c>
      <c r="C23" s="311">
        <f>'Nota de venta'!G24</f>
        <v>0</v>
      </c>
      <c r="D23" s="320">
        <f>'Nota de venta'!E24</f>
        <v>0</v>
      </c>
      <c r="E23" s="320">
        <f>'Nota de venta'!F24</f>
        <v>0</v>
      </c>
      <c r="F23" s="321">
        <v>1.5</v>
      </c>
      <c r="G23" s="312">
        <f>TablaOpTelas[[#This Row],[ANCHO]]+(TablaOpTelas[[#This Row],[exc cms x lado]]/100)*2</f>
        <v>0.03</v>
      </c>
      <c r="H23" s="312">
        <f>TablaOpTelas[[#This Row],[ALTO]]+(TablaOpTelas[[#This Row],[exc cms x lado]]/100)*2</f>
        <v>0.03</v>
      </c>
      <c r="I23" s="312">
        <f>TablaOpTelas[[#This Row],[ancho final]]*TablaOpTelas[[#This Row],[alto final]]</f>
        <v>8.9999999999999998E-4</v>
      </c>
      <c r="J23" s="312">
        <f>TablaOpTelas[[#This Row],[m2 unit]]*TablaOpTelas[[#This Row],['#]]</f>
        <v>0</v>
      </c>
      <c r="K23" s="314">
        <f>TablaOpTelas[[#This Row],[ANCHO]]*TablaOpTelas[[#This Row],[ALTO]]*$J$6</f>
        <v>0</v>
      </c>
      <c r="L23" s="315">
        <f>IF($J$7="CAJA TERMINADA",TablaOpTelas[[#This Row],[ANCHO]]+0.013,TablaOpTelas[[#This Row],[ANCHO]]+0.023)</f>
        <v>1.2999999999999999E-2</v>
      </c>
      <c r="M23" s="316">
        <f>IF($J$7="CAJA TERMINADA",TablaOpTelas[[#This Row],[ALTO]]+0.013,TablaOpTelas[[#This Row],[ALTO]]+0.023)</f>
        <v>1.2999999999999999E-2</v>
      </c>
      <c r="N23" s="433">
        <f>'Nota de venta'!L24</f>
        <v>0</v>
      </c>
      <c r="O23" s="417"/>
      <c r="P23" s="417"/>
      <c r="Q23" s="417"/>
      <c r="R23" s="417"/>
      <c r="S23" s="417"/>
      <c r="T23" s="417"/>
      <c r="U23" s="417"/>
      <c r="V23" s="417"/>
      <c r="W23" s="417"/>
      <c r="X23" s="417"/>
      <c r="Y23" s="417"/>
      <c r="Z23" s="417"/>
      <c r="AA23" s="417"/>
      <c r="AB23" s="417"/>
      <c r="AC23" s="417"/>
      <c r="AD23" s="417"/>
      <c r="AE23" s="417"/>
      <c r="AF23" s="417"/>
    </row>
    <row r="24" spans="1:32" s="119" customFormat="1" ht="48" customHeight="1">
      <c r="A24" s="417">
        <v>16</v>
      </c>
      <c r="B24" s="310">
        <f>'Nota de venta'!C25</f>
        <v>0</v>
      </c>
      <c r="C24" s="311">
        <f>'Nota de venta'!G25</f>
        <v>0</v>
      </c>
      <c r="D24" s="320">
        <f>'Nota de venta'!E25</f>
        <v>0</v>
      </c>
      <c r="E24" s="320">
        <f>'Nota de venta'!F25</f>
        <v>0</v>
      </c>
      <c r="F24" s="321">
        <v>1.5</v>
      </c>
      <c r="G24" s="312">
        <f>TablaOpTelas[[#This Row],[ANCHO]]+(TablaOpTelas[[#This Row],[exc cms x lado]]/100)*2</f>
        <v>0.03</v>
      </c>
      <c r="H24" s="312">
        <f>TablaOpTelas[[#This Row],[ALTO]]+(TablaOpTelas[[#This Row],[exc cms x lado]]/100)*2</f>
        <v>0.03</v>
      </c>
      <c r="I24" s="312">
        <f>TablaOpTelas[[#This Row],[ancho final]]*TablaOpTelas[[#This Row],[alto final]]</f>
        <v>8.9999999999999998E-4</v>
      </c>
      <c r="J24" s="312">
        <f>TablaOpTelas[[#This Row],[m2 unit]]*TablaOpTelas[[#This Row],['#]]</f>
        <v>0</v>
      </c>
      <c r="K24" s="314">
        <f>TablaOpTelas[[#This Row],[ANCHO]]*TablaOpTelas[[#This Row],[ALTO]]*$J$6</f>
        <v>0</v>
      </c>
      <c r="L24" s="315">
        <f>IF($J$7="CAJA TERMINADA",TablaOpTelas[[#This Row],[ANCHO]]+0.013,TablaOpTelas[[#This Row],[ANCHO]]+0.023)</f>
        <v>1.2999999999999999E-2</v>
      </c>
      <c r="M24" s="316">
        <f>IF($J$7="CAJA TERMINADA",TablaOpTelas[[#This Row],[ALTO]]+0.013,TablaOpTelas[[#This Row],[ALTO]]+0.023)</f>
        <v>1.2999999999999999E-2</v>
      </c>
      <c r="N24" s="433">
        <f>'Nota de venta'!L25</f>
        <v>0</v>
      </c>
      <c r="O24" s="417"/>
      <c r="P24" s="417"/>
      <c r="Q24" s="417"/>
      <c r="R24" s="417"/>
      <c r="S24" s="417"/>
      <c r="T24" s="417"/>
      <c r="U24" s="417"/>
      <c r="V24" s="417"/>
      <c r="W24" s="417"/>
      <c r="X24" s="417"/>
      <c r="Y24" s="417"/>
      <c r="Z24" s="417"/>
      <c r="AA24" s="417"/>
      <c r="AB24" s="417"/>
      <c r="AC24" s="417"/>
      <c r="AD24" s="417"/>
      <c r="AE24" s="417"/>
      <c r="AF24" s="417"/>
    </row>
    <row r="25" spans="1:32" s="119" customFormat="1" ht="48" customHeight="1">
      <c r="A25" s="417">
        <v>17</v>
      </c>
      <c r="B25" s="310">
        <f>'Nota de venta'!C26</f>
        <v>0</v>
      </c>
      <c r="C25" s="311">
        <f>'Nota de venta'!G26</f>
        <v>0</v>
      </c>
      <c r="D25" s="320">
        <f>'Nota de venta'!E26</f>
        <v>0</v>
      </c>
      <c r="E25" s="320">
        <f>'Nota de venta'!F26</f>
        <v>0</v>
      </c>
      <c r="F25" s="321">
        <v>1.5</v>
      </c>
      <c r="G25" s="312">
        <f>TablaOpTelas[[#This Row],[ANCHO]]+(TablaOpTelas[[#This Row],[exc cms x lado]]/100)*2</f>
        <v>0.03</v>
      </c>
      <c r="H25" s="312">
        <f>TablaOpTelas[[#This Row],[ALTO]]+(TablaOpTelas[[#This Row],[exc cms x lado]]/100)*2</f>
        <v>0.03</v>
      </c>
      <c r="I25" s="312">
        <f>TablaOpTelas[[#This Row],[ancho final]]*TablaOpTelas[[#This Row],[alto final]]</f>
        <v>8.9999999999999998E-4</v>
      </c>
      <c r="J25" s="312">
        <f>TablaOpTelas[[#This Row],[m2 unit]]*TablaOpTelas[[#This Row],['#]]</f>
        <v>0</v>
      </c>
      <c r="K25" s="314">
        <f>TablaOpTelas[[#This Row],[ANCHO]]*TablaOpTelas[[#This Row],[ALTO]]*$J$6</f>
        <v>0</v>
      </c>
      <c r="L25" s="315">
        <f>IF($J$7="CAJA TERMINADA",TablaOpTelas[[#This Row],[ANCHO]]+0.013,TablaOpTelas[[#This Row],[ANCHO]]+0.023)</f>
        <v>1.2999999999999999E-2</v>
      </c>
      <c r="M25" s="316">
        <f>IF($J$7="CAJA TERMINADA",TablaOpTelas[[#This Row],[ALTO]]+0.013,TablaOpTelas[[#This Row],[ALTO]]+0.023)</f>
        <v>1.2999999999999999E-2</v>
      </c>
      <c r="N25" s="433">
        <f>'Nota de venta'!L26</f>
        <v>0</v>
      </c>
      <c r="O25" s="417"/>
      <c r="P25" s="417"/>
      <c r="Q25" s="417"/>
      <c r="R25" s="417"/>
      <c r="S25" s="417"/>
      <c r="T25" s="417"/>
      <c r="U25" s="417"/>
      <c r="V25" s="417"/>
      <c r="W25" s="417"/>
      <c r="X25" s="417"/>
      <c r="Y25" s="417"/>
      <c r="Z25" s="417"/>
      <c r="AA25" s="417"/>
      <c r="AB25" s="417"/>
      <c r="AC25" s="417"/>
      <c r="AD25" s="417"/>
      <c r="AE25" s="417"/>
      <c r="AF25" s="417"/>
    </row>
    <row r="26" spans="1:32" s="119" customFormat="1" ht="48" customHeight="1">
      <c r="A26" s="417">
        <v>18</v>
      </c>
      <c r="B26" s="310">
        <f>'Nota de venta'!C27</f>
        <v>0</v>
      </c>
      <c r="C26" s="311">
        <f>'Nota de venta'!G27</f>
        <v>0</v>
      </c>
      <c r="D26" s="320">
        <f>'Nota de venta'!E27</f>
        <v>0</v>
      </c>
      <c r="E26" s="320">
        <f>'Nota de venta'!F27</f>
        <v>0</v>
      </c>
      <c r="F26" s="321">
        <v>1.5</v>
      </c>
      <c r="G26" s="312">
        <f>TablaOpTelas[[#This Row],[ANCHO]]+(TablaOpTelas[[#This Row],[exc cms x lado]]/100)*2</f>
        <v>0.03</v>
      </c>
      <c r="H26" s="312">
        <f>TablaOpTelas[[#This Row],[ALTO]]+(TablaOpTelas[[#This Row],[exc cms x lado]]/100)*2</f>
        <v>0.03</v>
      </c>
      <c r="I26" s="312">
        <f>TablaOpTelas[[#This Row],[ancho final]]*TablaOpTelas[[#This Row],[alto final]]</f>
        <v>8.9999999999999998E-4</v>
      </c>
      <c r="J26" s="312">
        <f>TablaOpTelas[[#This Row],[m2 unit]]*TablaOpTelas[[#This Row],['#]]</f>
        <v>0</v>
      </c>
      <c r="K26" s="314">
        <f>TablaOpTelas[[#This Row],[ANCHO]]*TablaOpTelas[[#This Row],[ALTO]]*$J$6</f>
        <v>0</v>
      </c>
      <c r="L26" s="315">
        <f>IF($J$7="CAJA TERMINADA",TablaOpTelas[[#This Row],[ANCHO]]+0.013,TablaOpTelas[[#This Row],[ANCHO]]+0.023)</f>
        <v>1.2999999999999999E-2</v>
      </c>
      <c r="M26" s="316">
        <f>IF($J$7="CAJA TERMINADA",TablaOpTelas[[#This Row],[ALTO]]+0.013,TablaOpTelas[[#This Row],[ALTO]]+0.023)</f>
        <v>1.2999999999999999E-2</v>
      </c>
      <c r="N26" s="433">
        <f>'Nota de venta'!L27</f>
        <v>0</v>
      </c>
      <c r="O26" s="417"/>
      <c r="P26" s="417"/>
      <c r="Q26" s="417"/>
      <c r="R26" s="417"/>
      <c r="S26" s="417"/>
      <c r="T26" s="417"/>
      <c r="U26" s="417"/>
      <c r="V26" s="417"/>
      <c r="W26" s="417"/>
      <c r="X26" s="417"/>
      <c r="Y26" s="417"/>
      <c r="Z26" s="417"/>
      <c r="AA26" s="417"/>
      <c r="AB26" s="417"/>
      <c r="AC26" s="417"/>
      <c r="AD26" s="417"/>
      <c r="AE26" s="417"/>
      <c r="AF26" s="417"/>
    </row>
    <row r="27" spans="1:32" s="119" customFormat="1" ht="48" customHeight="1">
      <c r="A27" s="417">
        <v>19</v>
      </c>
      <c r="B27" s="310">
        <f>'Nota de venta'!C28</f>
        <v>0</v>
      </c>
      <c r="C27" s="311">
        <f>'Nota de venta'!G28</f>
        <v>0</v>
      </c>
      <c r="D27" s="320">
        <f>'Nota de venta'!E28</f>
        <v>0</v>
      </c>
      <c r="E27" s="320">
        <f>'Nota de venta'!F28</f>
        <v>0</v>
      </c>
      <c r="F27" s="321">
        <v>1.5</v>
      </c>
      <c r="G27" s="312">
        <f>TablaOpTelas[[#This Row],[ANCHO]]+(TablaOpTelas[[#This Row],[exc cms x lado]]/100)*2</f>
        <v>0.03</v>
      </c>
      <c r="H27" s="312">
        <f>TablaOpTelas[[#This Row],[ALTO]]+(TablaOpTelas[[#This Row],[exc cms x lado]]/100)*2</f>
        <v>0.03</v>
      </c>
      <c r="I27" s="312">
        <f>TablaOpTelas[[#This Row],[ancho final]]*TablaOpTelas[[#This Row],[alto final]]</f>
        <v>8.9999999999999998E-4</v>
      </c>
      <c r="J27" s="312">
        <f>TablaOpTelas[[#This Row],[m2 unit]]*TablaOpTelas[[#This Row],['#]]</f>
        <v>0</v>
      </c>
      <c r="K27" s="314">
        <f>TablaOpTelas[[#This Row],[ANCHO]]*TablaOpTelas[[#This Row],[ALTO]]*$J$6</f>
        <v>0</v>
      </c>
      <c r="L27" s="315">
        <f>IF($J$7="CAJA TERMINADA",TablaOpTelas[[#This Row],[ANCHO]]+0.013,TablaOpTelas[[#This Row],[ANCHO]]+0.023)</f>
        <v>1.2999999999999999E-2</v>
      </c>
      <c r="M27" s="316">
        <f>IF($J$7="CAJA TERMINADA",TablaOpTelas[[#This Row],[ALTO]]+0.013,TablaOpTelas[[#This Row],[ALTO]]+0.023)</f>
        <v>1.2999999999999999E-2</v>
      </c>
      <c r="N27" s="433">
        <f>'Nota de venta'!L28</f>
        <v>0</v>
      </c>
      <c r="O27" s="417"/>
      <c r="P27" s="417"/>
      <c r="Q27" s="417"/>
      <c r="R27" s="417"/>
      <c r="S27" s="417"/>
      <c r="T27" s="417"/>
      <c r="U27" s="417"/>
      <c r="V27" s="417"/>
      <c r="W27" s="417"/>
      <c r="X27" s="417"/>
      <c r="Y27" s="417"/>
      <c r="Z27" s="417"/>
      <c r="AA27" s="417"/>
      <c r="AB27" s="417"/>
      <c r="AC27" s="417"/>
      <c r="AD27" s="417"/>
      <c r="AE27" s="417"/>
      <c r="AF27" s="417"/>
    </row>
    <row r="28" spans="1:32" s="119" customFormat="1" ht="48" customHeight="1">
      <c r="A28" s="417">
        <v>20</v>
      </c>
      <c r="B28" s="310">
        <f>'Nota de venta'!C29</f>
        <v>0</v>
      </c>
      <c r="C28" s="311">
        <f>'Nota de venta'!G29</f>
        <v>0</v>
      </c>
      <c r="D28" s="320">
        <f>'Nota de venta'!E29</f>
        <v>0</v>
      </c>
      <c r="E28" s="320">
        <f>'Nota de venta'!F29</f>
        <v>0</v>
      </c>
      <c r="F28" s="321">
        <v>1.5</v>
      </c>
      <c r="G28" s="312">
        <f>TablaOpTelas[[#This Row],[ANCHO]]+(TablaOpTelas[[#This Row],[exc cms x lado]]/100)*2</f>
        <v>0.03</v>
      </c>
      <c r="H28" s="312">
        <f>TablaOpTelas[[#This Row],[ALTO]]+(TablaOpTelas[[#This Row],[exc cms x lado]]/100)*2</f>
        <v>0.03</v>
      </c>
      <c r="I28" s="312">
        <f>TablaOpTelas[[#This Row],[ancho final]]*TablaOpTelas[[#This Row],[alto final]]</f>
        <v>8.9999999999999998E-4</v>
      </c>
      <c r="J28" s="312">
        <f>TablaOpTelas[[#This Row],[m2 unit]]*TablaOpTelas[[#This Row],['#]]</f>
        <v>0</v>
      </c>
      <c r="K28" s="314">
        <f>TablaOpTelas[[#This Row],[ANCHO]]*TablaOpTelas[[#This Row],[ALTO]]*$J$6</f>
        <v>0</v>
      </c>
      <c r="L28" s="315">
        <f>IF($J$7="CAJA TERMINADA",TablaOpTelas[[#This Row],[ANCHO]]+0.013,TablaOpTelas[[#This Row],[ANCHO]]+0.023)</f>
        <v>1.2999999999999999E-2</v>
      </c>
      <c r="M28" s="316">
        <f>IF($J$7="CAJA TERMINADA",TablaOpTelas[[#This Row],[ALTO]]+0.013,TablaOpTelas[[#This Row],[ALTO]]+0.023)</f>
        <v>1.2999999999999999E-2</v>
      </c>
      <c r="N28" s="433">
        <f>'Nota de venta'!L29</f>
        <v>0</v>
      </c>
      <c r="O28" s="417"/>
      <c r="P28" s="417"/>
      <c r="Q28" s="417"/>
      <c r="R28" s="417"/>
      <c r="S28" s="417"/>
      <c r="T28" s="417"/>
      <c r="U28" s="417"/>
      <c r="V28" s="417"/>
      <c r="W28" s="417"/>
      <c r="X28" s="417"/>
      <c r="Y28" s="417"/>
      <c r="Z28" s="417"/>
      <c r="AA28" s="417"/>
      <c r="AB28" s="417"/>
      <c r="AC28" s="417"/>
      <c r="AD28" s="417"/>
      <c r="AE28" s="417"/>
      <c r="AF28" s="417"/>
    </row>
    <row r="29" spans="1:32" s="119" customFormat="1" ht="48" customHeight="1">
      <c r="A29" s="417">
        <v>21</v>
      </c>
      <c r="B29" s="310">
        <f>'Nota de venta'!C30</f>
        <v>0</v>
      </c>
      <c r="C29" s="311">
        <f>'Nota de venta'!G30</f>
        <v>0</v>
      </c>
      <c r="D29" s="320">
        <f>'Nota de venta'!E30</f>
        <v>0</v>
      </c>
      <c r="E29" s="320">
        <f>'Nota de venta'!F30</f>
        <v>0</v>
      </c>
      <c r="F29" s="321">
        <v>1.5</v>
      </c>
      <c r="G29" s="312">
        <f>TablaOpTelas[[#This Row],[ANCHO]]+(TablaOpTelas[[#This Row],[exc cms x lado]]/100)*2</f>
        <v>0.03</v>
      </c>
      <c r="H29" s="312">
        <f>TablaOpTelas[[#This Row],[ALTO]]+(TablaOpTelas[[#This Row],[exc cms x lado]]/100)*2</f>
        <v>0.03</v>
      </c>
      <c r="I29" s="312">
        <f>TablaOpTelas[[#This Row],[ancho final]]*TablaOpTelas[[#This Row],[alto final]]</f>
        <v>8.9999999999999998E-4</v>
      </c>
      <c r="J29" s="312">
        <f>TablaOpTelas[[#This Row],[m2 unit]]*TablaOpTelas[[#This Row],['#]]</f>
        <v>0</v>
      </c>
      <c r="K29" s="314">
        <f>TablaOpTelas[[#This Row],[ANCHO]]*TablaOpTelas[[#This Row],[ALTO]]*$J$6</f>
        <v>0</v>
      </c>
      <c r="L29" s="315">
        <f>IF($J$7="CAJA TERMINADA",TablaOpTelas[[#This Row],[ANCHO]]+0.013,TablaOpTelas[[#This Row],[ANCHO]]+0.023)</f>
        <v>1.2999999999999999E-2</v>
      </c>
      <c r="M29" s="316">
        <f>IF($J$7="CAJA TERMINADA",TablaOpTelas[[#This Row],[ALTO]]+0.013,TablaOpTelas[[#This Row],[ALTO]]+0.023)</f>
        <v>1.2999999999999999E-2</v>
      </c>
      <c r="N29" s="433">
        <f>'Nota de venta'!L30</f>
        <v>0</v>
      </c>
      <c r="O29" s="417"/>
      <c r="P29" s="417"/>
      <c r="Q29" s="417"/>
      <c r="R29" s="417"/>
      <c r="S29" s="417"/>
      <c r="T29" s="417"/>
      <c r="U29" s="417"/>
      <c r="V29" s="417"/>
      <c r="W29" s="417"/>
      <c r="X29" s="417"/>
      <c r="Y29" s="417"/>
      <c r="Z29" s="417"/>
      <c r="AA29" s="417"/>
      <c r="AB29" s="417"/>
      <c r="AC29" s="417"/>
      <c r="AD29" s="417"/>
      <c r="AE29" s="417"/>
      <c r="AF29" s="417"/>
    </row>
    <row r="30" spans="1:32" s="119" customFormat="1" ht="48" customHeight="1">
      <c r="A30" s="417">
        <v>22</v>
      </c>
      <c r="B30" s="310">
        <f>'Nota de venta'!C31</f>
        <v>0</v>
      </c>
      <c r="C30" s="311">
        <f>'Nota de venta'!G31</f>
        <v>0</v>
      </c>
      <c r="D30" s="320">
        <f>'Nota de venta'!E31</f>
        <v>0</v>
      </c>
      <c r="E30" s="320">
        <f>'Nota de venta'!F31</f>
        <v>0</v>
      </c>
      <c r="F30" s="321">
        <v>1.5</v>
      </c>
      <c r="G30" s="312">
        <f>TablaOpTelas[[#This Row],[ANCHO]]+(TablaOpTelas[[#This Row],[exc cms x lado]]/100)*2</f>
        <v>0.03</v>
      </c>
      <c r="H30" s="312">
        <f>TablaOpTelas[[#This Row],[ALTO]]+(TablaOpTelas[[#This Row],[exc cms x lado]]/100)*2</f>
        <v>0.03</v>
      </c>
      <c r="I30" s="312">
        <f>TablaOpTelas[[#This Row],[ancho final]]*TablaOpTelas[[#This Row],[alto final]]</f>
        <v>8.9999999999999998E-4</v>
      </c>
      <c r="J30" s="312">
        <f>TablaOpTelas[[#This Row],[m2 unit]]*TablaOpTelas[[#This Row],['#]]</f>
        <v>0</v>
      </c>
      <c r="K30" s="314">
        <f>TablaOpTelas[[#This Row],[ANCHO]]*TablaOpTelas[[#This Row],[ALTO]]*$J$6</f>
        <v>0</v>
      </c>
      <c r="L30" s="315">
        <f>IF($J$7="CAJA TERMINADA",TablaOpTelas[[#This Row],[ANCHO]]+0.013,TablaOpTelas[[#This Row],[ANCHO]]+0.023)</f>
        <v>1.2999999999999999E-2</v>
      </c>
      <c r="M30" s="316">
        <f>IF($J$7="CAJA TERMINADA",TablaOpTelas[[#This Row],[ALTO]]+0.013,TablaOpTelas[[#This Row],[ALTO]]+0.023)</f>
        <v>1.2999999999999999E-2</v>
      </c>
      <c r="N30" s="433">
        <f>'Nota de venta'!L31</f>
        <v>0</v>
      </c>
      <c r="O30" s="417"/>
      <c r="P30" s="417"/>
      <c r="Q30" s="417"/>
      <c r="R30" s="417"/>
      <c r="S30" s="417"/>
      <c r="T30" s="417"/>
      <c r="U30" s="417"/>
      <c r="V30" s="417"/>
      <c r="W30" s="417"/>
      <c r="X30" s="417"/>
      <c r="Y30" s="417"/>
      <c r="Z30" s="417"/>
      <c r="AA30" s="417"/>
      <c r="AB30" s="417"/>
      <c r="AC30" s="417"/>
      <c r="AD30" s="417"/>
      <c r="AE30" s="417"/>
      <c r="AF30" s="417"/>
    </row>
    <row r="31" spans="1:32" s="119" customFormat="1" ht="48" customHeight="1">
      <c r="A31" s="417">
        <v>23</v>
      </c>
      <c r="B31" s="310">
        <f>'Nota de venta'!C32</f>
        <v>0</v>
      </c>
      <c r="C31" s="311">
        <f>'Nota de venta'!G32</f>
        <v>0</v>
      </c>
      <c r="D31" s="320">
        <f>'Nota de venta'!E32</f>
        <v>0</v>
      </c>
      <c r="E31" s="320">
        <f>'Nota de venta'!F32</f>
        <v>0</v>
      </c>
      <c r="F31" s="321">
        <v>1.5</v>
      </c>
      <c r="G31" s="312">
        <f>TablaOpTelas[[#This Row],[ANCHO]]+(TablaOpTelas[[#This Row],[exc cms x lado]]/100)*2</f>
        <v>0.03</v>
      </c>
      <c r="H31" s="312">
        <f>TablaOpTelas[[#This Row],[ALTO]]+(TablaOpTelas[[#This Row],[exc cms x lado]]/100)*2</f>
        <v>0.03</v>
      </c>
      <c r="I31" s="312">
        <f>TablaOpTelas[[#This Row],[ancho final]]*TablaOpTelas[[#This Row],[alto final]]</f>
        <v>8.9999999999999998E-4</v>
      </c>
      <c r="J31" s="312">
        <f>TablaOpTelas[[#This Row],[m2 unit]]*TablaOpTelas[[#This Row],['#]]</f>
        <v>0</v>
      </c>
      <c r="K31" s="314">
        <f>TablaOpTelas[[#This Row],[ANCHO]]*TablaOpTelas[[#This Row],[ALTO]]*$J$6</f>
        <v>0</v>
      </c>
      <c r="L31" s="315">
        <f>IF($J$7="CAJA TERMINADA",TablaOpTelas[[#This Row],[ANCHO]]+0.013,TablaOpTelas[[#This Row],[ANCHO]]+0.023)</f>
        <v>1.2999999999999999E-2</v>
      </c>
      <c r="M31" s="316">
        <f>IF($J$7="CAJA TERMINADA",TablaOpTelas[[#This Row],[ALTO]]+0.013,TablaOpTelas[[#This Row],[ALTO]]+0.023)</f>
        <v>1.2999999999999999E-2</v>
      </c>
      <c r="N31" s="433">
        <f>'Nota de venta'!L32</f>
        <v>0</v>
      </c>
      <c r="O31" s="417"/>
      <c r="P31" s="417"/>
      <c r="Q31" s="417"/>
      <c r="R31" s="417"/>
      <c r="S31" s="417"/>
      <c r="T31" s="417"/>
      <c r="U31" s="417"/>
      <c r="V31" s="417"/>
      <c r="W31" s="417"/>
      <c r="X31" s="417"/>
      <c r="Y31" s="417"/>
      <c r="Z31" s="417"/>
      <c r="AA31" s="417"/>
      <c r="AB31" s="417"/>
      <c r="AC31" s="417"/>
      <c r="AD31" s="417"/>
      <c r="AE31" s="417"/>
      <c r="AF31" s="417"/>
    </row>
    <row r="32" spans="1:32" s="119" customFormat="1" ht="48" customHeight="1">
      <c r="A32" s="417">
        <v>24</v>
      </c>
      <c r="B32" s="310">
        <f>'Nota de venta'!C33</f>
        <v>0</v>
      </c>
      <c r="C32" s="311">
        <f>'Nota de venta'!G33</f>
        <v>0</v>
      </c>
      <c r="D32" s="320">
        <f>'Nota de venta'!E33</f>
        <v>0</v>
      </c>
      <c r="E32" s="320">
        <f>'Nota de venta'!F33</f>
        <v>0</v>
      </c>
      <c r="F32" s="321">
        <v>1.5</v>
      </c>
      <c r="G32" s="312">
        <f>TablaOpTelas[[#This Row],[ANCHO]]+(TablaOpTelas[[#This Row],[exc cms x lado]]/100)*2</f>
        <v>0.03</v>
      </c>
      <c r="H32" s="312">
        <f>TablaOpTelas[[#This Row],[ALTO]]+(TablaOpTelas[[#This Row],[exc cms x lado]]/100)*2</f>
        <v>0.03</v>
      </c>
      <c r="I32" s="312">
        <f>TablaOpTelas[[#This Row],[ancho final]]*TablaOpTelas[[#This Row],[alto final]]</f>
        <v>8.9999999999999998E-4</v>
      </c>
      <c r="J32" s="312">
        <f>TablaOpTelas[[#This Row],[m2 unit]]*TablaOpTelas[[#This Row],['#]]</f>
        <v>0</v>
      </c>
      <c r="K32" s="314">
        <f>TablaOpTelas[[#This Row],[ANCHO]]*TablaOpTelas[[#This Row],[ALTO]]*$J$6</f>
        <v>0</v>
      </c>
      <c r="L32" s="315">
        <f>IF($J$7="CAJA TERMINADA",TablaOpTelas[[#This Row],[ANCHO]]+0.013,TablaOpTelas[[#This Row],[ANCHO]]+0.023)</f>
        <v>1.2999999999999999E-2</v>
      </c>
      <c r="M32" s="316">
        <f>IF($J$7="CAJA TERMINADA",TablaOpTelas[[#This Row],[ALTO]]+0.013,TablaOpTelas[[#This Row],[ALTO]]+0.023)</f>
        <v>1.2999999999999999E-2</v>
      </c>
      <c r="N32" s="433">
        <f>'Nota de venta'!L33</f>
        <v>0</v>
      </c>
      <c r="O32" s="417"/>
      <c r="P32" s="417"/>
      <c r="Q32" s="417"/>
      <c r="R32" s="417"/>
      <c r="S32" s="417"/>
      <c r="T32" s="417"/>
      <c r="U32" s="417"/>
      <c r="V32" s="417"/>
      <c r="W32" s="417"/>
      <c r="X32" s="417"/>
      <c r="Y32" s="417"/>
      <c r="Z32" s="417"/>
      <c r="AA32" s="417"/>
      <c r="AB32" s="417"/>
      <c r="AC32" s="417"/>
      <c r="AD32" s="417"/>
      <c r="AE32" s="417"/>
      <c r="AF32" s="417"/>
    </row>
    <row r="33" spans="1:32" s="119" customFormat="1" ht="48" customHeight="1">
      <c r="A33" s="417">
        <v>25</v>
      </c>
      <c r="B33" s="310">
        <f>'Nota de venta'!C34</f>
        <v>0</v>
      </c>
      <c r="C33" s="311">
        <f>'Nota de venta'!G34</f>
        <v>0</v>
      </c>
      <c r="D33" s="320">
        <f>'Nota de venta'!E34</f>
        <v>0</v>
      </c>
      <c r="E33" s="320">
        <f>'Nota de venta'!F34</f>
        <v>0</v>
      </c>
      <c r="F33" s="321">
        <v>1.5</v>
      </c>
      <c r="G33" s="312">
        <f>TablaOpTelas[[#This Row],[ANCHO]]+(TablaOpTelas[[#This Row],[exc cms x lado]]/100)*2</f>
        <v>0.03</v>
      </c>
      <c r="H33" s="312">
        <f>TablaOpTelas[[#This Row],[ALTO]]+(TablaOpTelas[[#This Row],[exc cms x lado]]/100)*2</f>
        <v>0.03</v>
      </c>
      <c r="I33" s="312">
        <f>TablaOpTelas[[#This Row],[ancho final]]*TablaOpTelas[[#This Row],[alto final]]</f>
        <v>8.9999999999999998E-4</v>
      </c>
      <c r="J33" s="312">
        <f>TablaOpTelas[[#This Row],[m2 unit]]*TablaOpTelas[[#This Row],['#]]</f>
        <v>0</v>
      </c>
      <c r="K33" s="314">
        <f>TablaOpTelas[[#This Row],[ANCHO]]*TablaOpTelas[[#This Row],[ALTO]]*$J$6</f>
        <v>0</v>
      </c>
      <c r="L33" s="315">
        <f>IF($J$7="CAJA TERMINADA",TablaOpTelas[[#This Row],[ANCHO]]+0.013,TablaOpTelas[[#This Row],[ANCHO]]+0.023)</f>
        <v>1.2999999999999999E-2</v>
      </c>
      <c r="M33" s="316">
        <f>IF($J$7="CAJA TERMINADA",TablaOpTelas[[#This Row],[ALTO]]+0.013,TablaOpTelas[[#This Row],[ALTO]]+0.023)</f>
        <v>1.2999999999999999E-2</v>
      </c>
      <c r="N33" s="433">
        <f>'Nota de venta'!L34</f>
        <v>0</v>
      </c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Y33" s="417"/>
      <c r="Z33" s="417"/>
      <c r="AA33" s="417"/>
      <c r="AB33" s="417"/>
      <c r="AC33" s="417"/>
      <c r="AD33" s="417"/>
      <c r="AE33" s="417"/>
      <c r="AF33" s="417"/>
    </row>
    <row r="34" spans="1:32" s="119" customFormat="1" ht="48" customHeight="1">
      <c r="A34" s="417">
        <v>26</v>
      </c>
      <c r="B34" s="310">
        <f>'Nota de venta'!C35</f>
        <v>0</v>
      </c>
      <c r="C34" s="311">
        <f>'Nota de venta'!G35</f>
        <v>0</v>
      </c>
      <c r="D34" s="320">
        <f>'Nota de venta'!E35</f>
        <v>0</v>
      </c>
      <c r="E34" s="320">
        <f>'Nota de venta'!F35</f>
        <v>0</v>
      </c>
      <c r="F34" s="321">
        <v>1.5</v>
      </c>
      <c r="G34" s="312">
        <f>TablaOpTelas[[#This Row],[ANCHO]]+(TablaOpTelas[[#This Row],[exc cms x lado]]/100)*2</f>
        <v>0.03</v>
      </c>
      <c r="H34" s="312">
        <f>TablaOpTelas[[#This Row],[ALTO]]+(TablaOpTelas[[#This Row],[exc cms x lado]]/100)*2</f>
        <v>0.03</v>
      </c>
      <c r="I34" s="312">
        <f>TablaOpTelas[[#This Row],[ancho final]]*TablaOpTelas[[#This Row],[alto final]]</f>
        <v>8.9999999999999998E-4</v>
      </c>
      <c r="J34" s="312">
        <f>TablaOpTelas[[#This Row],[m2 unit]]*TablaOpTelas[[#This Row],['#]]</f>
        <v>0</v>
      </c>
      <c r="K34" s="314">
        <f>TablaOpTelas[[#This Row],[ANCHO]]*TablaOpTelas[[#This Row],[ALTO]]*$J$6</f>
        <v>0</v>
      </c>
      <c r="L34" s="315">
        <f>IF($J$7="CAJA TERMINADA",TablaOpTelas[[#This Row],[ANCHO]]+0.013,TablaOpTelas[[#This Row],[ANCHO]]+0.023)</f>
        <v>1.2999999999999999E-2</v>
      </c>
      <c r="M34" s="316">
        <f>IF($J$7="CAJA TERMINADA",TablaOpTelas[[#This Row],[ALTO]]+0.013,TablaOpTelas[[#This Row],[ALTO]]+0.023)</f>
        <v>1.2999999999999999E-2</v>
      </c>
      <c r="N34" s="433">
        <f>'Nota de venta'!L35</f>
        <v>0</v>
      </c>
      <c r="O34" s="417"/>
      <c r="P34" s="417"/>
      <c r="Q34" s="417"/>
      <c r="R34" s="417"/>
      <c r="S34" s="417"/>
      <c r="T34" s="417"/>
      <c r="U34" s="417"/>
      <c r="V34" s="417"/>
      <c r="W34" s="417"/>
      <c r="X34" s="417"/>
      <c r="Y34" s="417"/>
      <c r="Z34" s="417"/>
      <c r="AA34" s="417"/>
      <c r="AB34" s="417"/>
      <c r="AC34" s="417"/>
      <c r="AD34" s="417"/>
      <c r="AE34" s="417"/>
      <c r="AF34" s="417"/>
    </row>
    <row r="35" spans="1:32" s="119" customFormat="1" ht="48" customHeight="1">
      <c r="A35" s="417">
        <v>27</v>
      </c>
      <c r="B35" s="310">
        <f>'Nota de venta'!C36</f>
        <v>0</v>
      </c>
      <c r="C35" s="311">
        <f>'Nota de venta'!G36</f>
        <v>0</v>
      </c>
      <c r="D35" s="320">
        <f>'Nota de venta'!E36</f>
        <v>0</v>
      </c>
      <c r="E35" s="320">
        <f>'Nota de venta'!F36</f>
        <v>0</v>
      </c>
      <c r="F35" s="321">
        <v>1.5</v>
      </c>
      <c r="G35" s="312">
        <f>TablaOpTelas[[#This Row],[ANCHO]]+(TablaOpTelas[[#This Row],[exc cms x lado]]/100)*2</f>
        <v>0.03</v>
      </c>
      <c r="H35" s="312">
        <f>TablaOpTelas[[#This Row],[ALTO]]+(TablaOpTelas[[#This Row],[exc cms x lado]]/100)*2</f>
        <v>0.03</v>
      </c>
      <c r="I35" s="312">
        <f>TablaOpTelas[[#This Row],[ancho final]]*TablaOpTelas[[#This Row],[alto final]]</f>
        <v>8.9999999999999998E-4</v>
      </c>
      <c r="J35" s="312">
        <f>TablaOpTelas[[#This Row],[m2 unit]]*TablaOpTelas[[#This Row],['#]]</f>
        <v>0</v>
      </c>
      <c r="K35" s="314">
        <f>TablaOpTelas[[#This Row],[ANCHO]]*TablaOpTelas[[#This Row],[ALTO]]*$J$6</f>
        <v>0</v>
      </c>
      <c r="L35" s="315">
        <f>IF($J$7="CAJA TERMINADA",TablaOpTelas[[#This Row],[ANCHO]]+0.013,TablaOpTelas[[#This Row],[ANCHO]]+0.023)</f>
        <v>1.2999999999999999E-2</v>
      </c>
      <c r="M35" s="316">
        <f>IF($J$7="CAJA TERMINADA",TablaOpTelas[[#This Row],[ALTO]]+0.013,TablaOpTelas[[#This Row],[ALTO]]+0.023)</f>
        <v>1.2999999999999999E-2</v>
      </c>
      <c r="N35" s="433">
        <f>'Nota de venta'!L36</f>
        <v>0</v>
      </c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Y35" s="417"/>
      <c r="Z35" s="417"/>
      <c r="AA35" s="417"/>
      <c r="AB35" s="417"/>
      <c r="AC35" s="417"/>
      <c r="AD35" s="417"/>
      <c r="AE35" s="417"/>
      <c r="AF35" s="417"/>
    </row>
    <row r="36" spans="1:32" s="119" customFormat="1" ht="48" customHeight="1">
      <c r="A36" s="417">
        <v>28</v>
      </c>
      <c r="B36" s="310">
        <f>'Nota de venta'!C37</f>
        <v>0</v>
      </c>
      <c r="C36" s="311">
        <f>'Nota de venta'!G37</f>
        <v>0</v>
      </c>
      <c r="D36" s="320">
        <f>'Nota de venta'!E37</f>
        <v>0</v>
      </c>
      <c r="E36" s="320">
        <f>'Nota de venta'!F37</f>
        <v>0</v>
      </c>
      <c r="F36" s="321">
        <v>1.5</v>
      </c>
      <c r="G36" s="312">
        <f>TablaOpTelas[[#This Row],[ANCHO]]+(TablaOpTelas[[#This Row],[exc cms x lado]]/100)*2</f>
        <v>0.03</v>
      </c>
      <c r="H36" s="312">
        <f>TablaOpTelas[[#This Row],[ALTO]]+(TablaOpTelas[[#This Row],[exc cms x lado]]/100)*2</f>
        <v>0.03</v>
      </c>
      <c r="I36" s="312">
        <f>TablaOpTelas[[#This Row],[ancho final]]*TablaOpTelas[[#This Row],[alto final]]</f>
        <v>8.9999999999999998E-4</v>
      </c>
      <c r="J36" s="312">
        <f>TablaOpTelas[[#This Row],[m2 unit]]*TablaOpTelas[[#This Row],['#]]</f>
        <v>0</v>
      </c>
      <c r="K36" s="314">
        <f>TablaOpTelas[[#This Row],[ANCHO]]*TablaOpTelas[[#This Row],[ALTO]]*$J$6</f>
        <v>0</v>
      </c>
      <c r="L36" s="315">
        <f>IF($J$7="CAJA TERMINADA",TablaOpTelas[[#This Row],[ANCHO]]+0.013,TablaOpTelas[[#This Row],[ANCHO]]+0.023)</f>
        <v>1.2999999999999999E-2</v>
      </c>
      <c r="M36" s="316">
        <f>IF($J$7="CAJA TERMINADA",TablaOpTelas[[#This Row],[ALTO]]+0.013,TablaOpTelas[[#This Row],[ALTO]]+0.023)</f>
        <v>1.2999999999999999E-2</v>
      </c>
      <c r="N36" s="433">
        <f>'Nota de venta'!L37</f>
        <v>0</v>
      </c>
      <c r="O36" s="417"/>
      <c r="P36" s="417"/>
      <c r="Q36" s="417"/>
      <c r="R36" s="417"/>
      <c r="S36" s="417"/>
      <c r="T36" s="417"/>
      <c r="U36" s="417"/>
      <c r="V36" s="417"/>
      <c r="W36" s="417"/>
      <c r="X36" s="417"/>
      <c r="Y36" s="417"/>
      <c r="Z36" s="417"/>
      <c r="AA36" s="417"/>
      <c r="AB36" s="417"/>
      <c r="AC36" s="417"/>
      <c r="AD36" s="417"/>
      <c r="AE36" s="417"/>
      <c r="AF36" s="417"/>
    </row>
    <row r="37" spans="1:32" s="119" customFormat="1" ht="48" customHeight="1">
      <c r="A37" s="417">
        <v>29</v>
      </c>
      <c r="B37" s="310">
        <f>'Nota de venta'!C38</f>
        <v>0</v>
      </c>
      <c r="C37" s="311">
        <f>'Nota de venta'!G38</f>
        <v>0</v>
      </c>
      <c r="D37" s="320">
        <f>'Nota de venta'!E38</f>
        <v>0</v>
      </c>
      <c r="E37" s="320">
        <f>'Nota de venta'!F38</f>
        <v>0</v>
      </c>
      <c r="F37" s="321">
        <v>1.5</v>
      </c>
      <c r="G37" s="312">
        <f>TablaOpTelas[[#This Row],[ANCHO]]+(TablaOpTelas[[#This Row],[exc cms x lado]]/100)*2</f>
        <v>0.03</v>
      </c>
      <c r="H37" s="312">
        <f>TablaOpTelas[[#This Row],[ALTO]]+(TablaOpTelas[[#This Row],[exc cms x lado]]/100)*2</f>
        <v>0.03</v>
      </c>
      <c r="I37" s="312">
        <f>TablaOpTelas[[#This Row],[ancho final]]*TablaOpTelas[[#This Row],[alto final]]</f>
        <v>8.9999999999999998E-4</v>
      </c>
      <c r="J37" s="312">
        <f>TablaOpTelas[[#This Row],[m2 unit]]*TablaOpTelas[[#This Row],['#]]</f>
        <v>0</v>
      </c>
      <c r="K37" s="314">
        <f>TablaOpTelas[[#This Row],[ANCHO]]*TablaOpTelas[[#This Row],[ALTO]]*$J$6</f>
        <v>0</v>
      </c>
      <c r="L37" s="315">
        <f>IF($J$7="CAJA TERMINADA",TablaOpTelas[[#This Row],[ANCHO]]+0.013,TablaOpTelas[[#This Row],[ANCHO]]+0.023)</f>
        <v>1.2999999999999999E-2</v>
      </c>
      <c r="M37" s="316">
        <f>IF($J$7="CAJA TERMINADA",TablaOpTelas[[#This Row],[ALTO]]+0.013,TablaOpTelas[[#This Row],[ALTO]]+0.023)</f>
        <v>1.2999999999999999E-2</v>
      </c>
      <c r="N37" s="433">
        <f>'Nota de venta'!L38</f>
        <v>0</v>
      </c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Y37" s="417"/>
      <c r="Z37" s="417"/>
      <c r="AA37" s="417"/>
      <c r="AB37" s="417"/>
      <c r="AC37" s="417"/>
      <c r="AD37" s="417"/>
      <c r="AE37" s="417"/>
      <c r="AF37" s="417"/>
    </row>
    <row r="38" spans="1:32" s="119" customFormat="1" ht="48" customHeight="1">
      <c r="A38" s="417">
        <v>30</v>
      </c>
      <c r="B38" s="310">
        <f>'Nota de venta'!C39</f>
        <v>0</v>
      </c>
      <c r="C38" s="311">
        <f>'Nota de venta'!G39</f>
        <v>0</v>
      </c>
      <c r="D38" s="320">
        <f>'Nota de venta'!E39</f>
        <v>0</v>
      </c>
      <c r="E38" s="320">
        <f>'Nota de venta'!F39</f>
        <v>0</v>
      </c>
      <c r="F38" s="321">
        <v>1.5</v>
      </c>
      <c r="G38" s="312">
        <f>TablaOpTelas[[#This Row],[ANCHO]]+(TablaOpTelas[[#This Row],[exc cms x lado]]/100)*2</f>
        <v>0.03</v>
      </c>
      <c r="H38" s="312">
        <f>TablaOpTelas[[#This Row],[ALTO]]+(TablaOpTelas[[#This Row],[exc cms x lado]]/100)*2</f>
        <v>0.03</v>
      </c>
      <c r="I38" s="312">
        <f>TablaOpTelas[[#This Row],[ancho final]]*TablaOpTelas[[#This Row],[alto final]]</f>
        <v>8.9999999999999998E-4</v>
      </c>
      <c r="J38" s="312">
        <f>TablaOpTelas[[#This Row],[m2 unit]]*TablaOpTelas[[#This Row],['#]]</f>
        <v>0</v>
      </c>
      <c r="K38" s="314">
        <f>TablaOpTelas[[#This Row],[ANCHO]]*TablaOpTelas[[#This Row],[ALTO]]*$J$6</f>
        <v>0</v>
      </c>
      <c r="L38" s="315">
        <f>IF($J$7="CAJA TERMINADA",TablaOpTelas[[#This Row],[ANCHO]]+0.013,TablaOpTelas[[#This Row],[ANCHO]]+0.023)</f>
        <v>1.2999999999999999E-2</v>
      </c>
      <c r="M38" s="316">
        <f>IF($J$7="CAJA TERMINADA",TablaOpTelas[[#This Row],[ALTO]]+0.013,TablaOpTelas[[#This Row],[ALTO]]+0.023)</f>
        <v>1.2999999999999999E-2</v>
      </c>
      <c r="N38" s="433">
        <f>'Nota de venta'!L39</f>
        <v>0</v>
      </c>
      <c r="O38" s="417"/>
      <c r="P38" s="417"/>
      <c r="Q38" s="417"/>
      <c r="R38" s="417"/>
      <c r="S38" s="417"/>
      <c r="T38" s="417"/>
      <c r="U38" s="417"/>
      <c r="V38" s="417"/>
      <c r="W38" s="417"/>
      <c r="X38" s="417"/>
      <c r="Y38" s="417"/>
      <c r="Z38" s="417"/>
      <c r="AA38" s="417"/>
      <c r="AB38" s="417"/>
      <c r="AC38" s="417"/>
      <c r="AD38" s="417"/>
      <c r="AE38" s="417"/>
      <c r="AF38" s="417"/>
    </row>
    <row r="39" spans="1:32" s="119" customFormat="1" ht="48" customHeight="1">
      <c r="A39" s="417">
        <v>31</v>
      </c>
      <c r="B39" s="310">
        <f>'Nota de venta'!C40</f>
        <v>0</v>
      </c>
      <c r="C39" s="311">
        <f>'Nota de venta'!G40</f>
        <v>0</v>
      </c>
      <c r="D39" s="320">
        <f>'Nota de venta'!E40</f>
        <v>0</v>
      </c>
      <c r="E39" s="320">
        <f>'Nota de venta'!F40</f>
        <v>0</v>
      </c>
      <c r="F39" s="321">
        <v>1.5</v>
      </c>
      <c r="G39" s="312">
        <f>TablaOpTelas[[#This Row],[ANCHO]]+(TablaOpTelas[[#This Row],[exc cms x lado]]/100)*2</f>
        <v>0.03</v>
      </c>
      <c r="H39" s="312">
        <f>TablaOpTelas[[#This Row],[ALTO]]+(TablaOpTelas[[#This Row],[exc cms x lado]]/100)*2</f>
        <v>0.03</v>
      </c>
      <c r="I39" s="312">
        <f>TablaOpTelas[[#This Row],[ancho final]]*TablaOpTelas[[#This Row],[alto final]]</f>
        <v>8.9999999999999998E-4</v>
      </c>
      <c r="J39" s="312">
        <f>TablaOpTelas[[#This Row],[m2 unit]]*TablaOpTelas[[#This Row],['#]]</f>
        <v>0</v>
      </c>
      <c r="K39" s="314">
        <f>TablaOpTelas[[#This Row],[ANCHO]]*TablaOpTelas[[#This Row],[ALTO]]*$J$6</f>
        <v>0</v>
      </c>
      <c r="L39" s="315">
        <f>IF($J$7="CAJA TERMINADA",TablaOpTelas[[#This Row],[ANCHO]]+0.013,TablaOpTelas[[#This Row],[ANCHO]]+0.023)</f>
        <v>1.2999999999999999E-2</v>
      </c>
      <c r="M39" s="316">
        <f>IF($J$7="CAJA TERMINADA",TablaOpTelas[[#This Row],[ALTO]]+0.013,TablaOpTelas[[#This Row],[ALTO]]+0.023)</f>
        <v>1.2999999999999999E-2</v>
      </c>
      <c r="N39" s="433">
        <f>'Nota de venta'!L40</f>
        <v>0</v>
      </c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Y39" s="417"/>
      <c r="Z39" s="417"/>
      <c r="AA39" s="417"/>
      <c r="AB39" s="417"/>
      <c r="AC39" s="417"/>
      <c r="AD39" s="417"/>
      <c r="AE39" s="417"/>
      <c r="AF39" s="417"/>
    </row>
    <row r="40" spans="1:32" s="119" customFormat="1" ht="48" customHeight="1">
      <c r="A40" s="417">
        <v>32</v>
      </c>
      <c r="B40" s="310">
        <f>'Nota de venta'!C41</f>
        <v>0</v>
      </c>
      <c r="C40" s="311">
        <f>'Nota de venta'!G41</f>
        <v>0</v>
      </c>
      <c r="D40" s="320">
        <f>'Nota de venta'!E41</f>
        <v>0</v>
      </c>
      <c r="E40" s="320">
        <f>'Nota de venta'!F41</f>
        <v>0</v>
      </c>
      <c r="F40" s="321">
        <v>1.5</v>
      </c>
      <c r="G40" s="312">
        <f>TablaOpTelas[[#This Row],[ANCHO]]+(TablaOpTelas[[#This Row],[exc cms x lado]]/100)*2</f>
        <v>0.03</v>
      </c>
      <c r="H40" s="312">
        <f>TablaOpTelas[[#This Row],[ALTO]]+(TablaOpTelas[[#This Row],[exc cms x lado]]/100)*2</f>
        <v>0.03</v>
      </c>
      <c r="I40" s="312">
        <f>TablaOpTelas[[#This Row],[ancho final]]*TablaOpTelas[[#This Row],[alto final]]</f>
        <v>8.9999999999999998E-4</v>
      </c>
      <c r="J40" s="312">
        <f>TablaOpTelas[[#This Row],[m2 unit]]*TablaOpTelas[[#This Row],['#]]</f>
        <v>0</v>
      </c>
      <c r="K40" s="314">
        <f>TablaOpTelas[[#This Row],[ANCHO]]*TablaOpTelas[[#This Row],[ALTO]]*$J$6</f>
        <v>0</v>
      </c>
      <c r="L40" s="315">
        <f>IF($J$7="CAJA TERMINADA",TablaOpTelas[[#This Row],[ANCHO]]+0.013,TablaOpTelas[[#This Row],[ANCHO]]+0.023)</f>
        <v>1.2999999999999999E-2</v>
      </c>
      <c r="M40" s="316">
        <f>IF($J$7="CAJA TERMINADA",TablaOpTelas[[#This Row],[ALTO]]+0.013,TablaOpTelas[[#This Row],[ALTO]]+0.023)</f>
        <v>1.2999999999999999E-2</v>
      </c>
      <c r="N40" s="433">
        <f>'Nota de venta'!L41</f>
        <v>0</v>
      </c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Y40" s="417"/>
      <c r="Z40" s="417"/>
      <c r="AA40" s="417"/>
      <c r="AB40" s="417"/>
      <c r="AC40" s="417"/>
      <c r="AD40" s="417"/>
      <c r="AE40" s="417"/>
      <c r="AF40" s="417"/>
    </row>
    <row r="41" spans="1:32" s="119" customFormat="1" ht="48" customHeight="1">
      <c r="A41" s="417">
        <v>33</v>
      </c>
      <c r="B41" s="310">
        <f>'Nota de venta'!C42</f>
        <v>0</v>
      </c>
      <c r="C41" s="311">
        <f>'Nota de venta'!G42</f>
        <v>0</v>
      </c>
      <c r="D41" s="320">
        <f>'Nota de venta'!E42</f>
        <v>0</v>
      </c>
      <c r="E41" s="320">
        <f>'Nota de venta'!F42</f>
        <v>0</v>
      </c>
      <c r="F41" s="321">
        <v>1.5</v>
      </c>
      <c r="G41" s="312">
        <f>TablaOpTelas[[#This Row],[ANCHO]]+(TablaOpTelas[[#This Row],[exc cms x lado]]/100)*2</f>
        <v>0.03</v>
      </c>
      <c r="H41" s="312">
        <f>TablaOpTelas[[#This Row],[ALTO]]+(TablaOpTelas[[#This Row],[exc cms x lado]]/100)*2</f>
        <v>0.03</v>
      </c>
      <c r="I41" s="312">
        <f>TablaOpTelas[[#This Row],[ancho final]]*TablaOpTelas[[#This Row],[alto final]]</f>
        <v>8.9999999999999998E-4</v>
      </c>
      <c r="J41" s="312">
        <f>TablaOpTelas[[#This Row],[m2 unit]]*TablaOpTelas[[#This Row],['#]]</f>
        <v>0</v>
      </c>
      <c r="K41" s="314">
        <f>TablaOpTelas[[#This Row],[ANCHO]]*TablaOpTelas[[#This Row],[ALTO]]*$J$6</f>
        <v>0</v>
      </c>
      <c r="L41" s="315">
        <f>IF($J$7="CAJA TERMINADA",TablaOpTelas[[#This Row],[ANCHO]]+0.013,TablaOpTelas[[#This Row],[ANCHO]]+0.023)</f>
        <v>1.2999999999999999E-2</v>
      </c>
      <c r="M41" s="316">
        <f>IF($J$7="CAJA TERMINADA",TablaOpTelas[[#This Row],[ALTO]]+0.013,TablaOpTelas[[#This Row],[ALTO]]+0.023)</f>
        <v>1.2999999999999999E-2</v>
      </c>
      <c r="N41" s="433">
        <f>'Nota de venta'!L42</f>
        <v>0</v>
      </c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Y41" s="417"/>
      <c r="Z41" s="417"/>
      <c r="AA41" s="417"/>
      <c r="AB41" s="417"/>
      <c r="AC41" s="417"/>
      <c r="AD41" s="417"/>
      <c r="AE41" s="417"/>
      <c r="AF41" s="417"/>
    </row>
    <row r="42" spans="1:32" s="119" customFormat="1" ht="48" customHeight="1">
      <c r="A42" s="417">
        <v>34</v>
      </c>
      <c r="B42" s="310">
        <f>'Nota de venta'!C43</f>
        <v>0</v>
      </c>
      <c r="C42" s="311">
        <f>'Nota de venta'!G43</f>
        <v>0</v>
      </c>
      <c r="D42" s="320">
        <f>'Nota de venta'!E43</f>
        <v>0</v>
      </c>
      <c r="E42" s="320">
        <f>'Nota de venta'!F43</f>
        <v>0</v>
      </c>
      <c r="F42" s="321">
        <v>1.5</v>
      </c>
      <c r="G42" s="312">
        <f>TablaOpTelas[[#This Row],[ANCHO]]+(TablaOpTelas[[#This Row],[exc cms x lado]]/100)*2</f>
        <v>0.03</v>
      </c>
      <c r="H42" s="312">
        <f>TablaOpTelas[[#This Row],[ALTO]]+(TablaOpTelas[[#This Row],[exc cms x lado]]/100)*2</f>
        <v>0.03</v>
      </c>
      <c r="I42" s="312">
        <f>TablaOpTelas[[#This Row],[ancho final]]*TablaOpTelas[[#This Row],[alto final]]</f>
        <v>8.9999999999999998E-4</v>
      </c>
      <c r="J42" s="312">
        <f>TablaOpTelas[[#This Row],[m2 unit]]*TablaOpTelas[[#This Row],['#]]</f>
        <v>0</v>
      </c>
      <c r="K42" s="314">
        <f>TablaOpTelas[[#This Row],[ANCHO]]*TablaOpTelas[[#This Row],[ALTO]]*$J$6</f>
        <v>0</v>
      </c>
      <c r="L42" s="315">
        <f>IF($J$7="CAJA TERMINADA",TablaOpTelas[[#This Row],[ANCHO]]+0.013,TablaOpTelas[[#This Row],[ANCHO]]+0.023)</f>
        <v>1.2999999999999999E-2</v>
      </c>
      <c r="M42" s="316">
        <f>IF($J$7="CAJA TERMINADA",TablaOpTelas[[#This Row],[ALTO]]+0.013,TablaOpTelas[[#This Row],[ALTO]]+0.023)</f>
        <v>1.2999999999999999E-2</v>
      </c>
      <c r="N42" s="433">
        <f>'Nota de venta'!L43</f>
        <v>0</v>
      </c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Y42" s="417"/>
      <c r="Z42" s="417"/>
      <c r="AA42" s="417"/>
      <c r="AB42" s="417"/>
      <c r="AC42" s="417"/>
      <c r="AD42" s="417"/>
      <c r="AE42" s="417"/>
      <c r="AF42" s="417"/>
    </row>
    <row r="43" spans="1:32" s="119" customFormat="1" ht="48" customHeight="1">
      <c r="A43" s="417">
        <v>35</v>
      </c>
      <c r="B43" s="310">
        <f>'Nota de venta'!C44</f>
        <v>0</v>
      </c>
      <c r="C43" s="311">
        <f>'Nota de venta'!G44</f>
        <v>0</v>
      </c>
      <c r="D43" s="320">
        <f>'Nota de venta'!E44</f>
        <v>0</v>
      </c>
      <c r="E43" s="320">
        <f>'Nota de venta'!F44</f>
        <v>0</v>
      </c>
      <c r="F43" s="321">
        <v>1.5</v>
      </c>
      <c r="G43" s="312">
        <f>TablaOpTelas[[#This Row],[ANCHO]]+(TablaOpTelas[[#This Row],[exc cms x lado]]/100)*2</f>
        <v>0.03</v>
      </c>
      <c r="H43" s="312">
        <f>TablaOpTelas[[#This Row],[ALTO]]+(TablaOpTelas[[#This Row],[exc cms x lado]]/100)*2</f>
        <v>0.03</v>
      </c>
      <c r="I43" s="312">
        <f>TablaOpTelas[[#This Row],[ancho final]]*TablaOpTelas[[#This Row],[alto final]]</f>
        <v>8.9999999999999998E-4</v>
      </c>
      <c r="J43" s="312">
        <f>TablaOpTelas[[#This Row],[m2 unit]]*TablaOpTelas[[#This Row],['#]]</f>
        <v>0</v>
      </c>
      <c r="K43" s="314">
        <f>TablaOpTelas[[#This Row],[ANCHO]]*TablaOpTelas[[#This Row],[ALTO]]*$J$6</f>
        <v>0</v>
      </c>
      <c r="L43" s="315">
        <f>IF($J$7="CAJA TERMINADA",TablaOpTelas[[#This Row],[ANCHO]]+0.013,TablaOpTelas[[#This Row],[ANCHO]]+0.023)</f>
        <v>1.2999999999999999E-2</v>
      </c>
      <c r="M43" s="316">
        <f>IF($J$7="CAJA TERMINADA",TablaOpTelas[[#This Row],[ALTO]]+0.013,TablaOpTelas[[#This Row],[ALTO]]+0.023)</f>
        <v>1.2999999999999999E-2</v>
      </c>
      <c r="N43" s="433">
        <f>'Nota de venta'!L44</f>
        <v>0</v>
      </c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Y43" s="417"/>
      <c r="Z43" s="417"/>
      <c r="AA43" s="417"/>
      <c r="AB43" s="417"/>
      <c r="AC43" s="417"/>
      <c r="AD43" s="417"/>
      <c r="AE43" s="417"/>
      <c r="AF43" s="417"/>
    </row>
    <row r="44" spans="1:32" s="119" customFormat="1" ht="48" customHeight="1">
      <c r="A44" s="417">
        <v>36</v>
      </c>
      <c r="B44" s="310">
        <f>'Nota de venta'!C45</f>
        <v>0</v>
      </c>
      <c r="C44" s="311">
        <f>'Nota de venta'!G45</f>
        <v>0</v>
      </c>
      <c r="D44" s="320">
        <f>'Nota de venta'!E45</f>
        <v>0</v>
      </c>
      <c r="E44" s="320">
        <f>'Nota de venta'!F45</f>
        <v>0</v>
      </c>
      <c r="F44" s="321">
        <v>1.5</v>
      </c>
      <c r="G44" s="312">
        <f>TablaOpTelas[[#This Row],[ANCHO]]+(TablaOpTelas[[#This Row],[exc cms x lado]]/100)*2</f>
        <v>0.03</v>
      </c>
      <c r="H44" s="312">
        <f>TablaOpTelas[[#This Row],[ALTO]]+(TablaOpTelas[[#This Row],[exc cms x lado]]/100)*2</f>
        <v>0.03</v>
      </c>
      <c r="I44" s="312">
        <f>TablaOpTelas[[#This Row],[ancho final]]*TablaOpTelas[[#This Row],[alto final]]</f>
        <v>8.9999999999999998E-4</v>
      </c>
      <c r="J44" s="312">
        <f>TablaOpTelas[[#This Row],[m2 unit]]*TablaOpTelas[[#This Row],['#]]</f>
        <v>0</v>
      </c>
      <c r="K44" s="314">
        <f>TablaOpTelas[[#This Row],[ANCHO]]*TablaOpTelas[[#This Row],[ALTO]]*$J$6</f>
        <v>0</v>
      </c>
      <c r="L44" s="315">
        <f>IF($J$7="CAJA TERMINADA",TablaOpTelas[[#This Row],[ANCHO]]+0.013,TablaOpTelas[[#This Row],[ANCHO]]+0.023)</f>
        <v>1.2999999999999999E-2</v>
      </c>
      <c r="M44" s="316">
        <f>IF($J$7="CAJA TERMINADA",TablaOpTelas[[#This Row],[ALTO]]+0.013,TablaOpTelas[[#This Row],[ALTO]]+0.023)</f>
        <v>1.2999999999999999E-2</v>
      </c>
      <c r="N44" s="433">
        <f>'Nota de venta'!L45</f>
        <v>0</v>
      </c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Y44" s="417"/>
      <c r="Z44" s="417"/>
      <c r="AA44" s="417"/>
      <c r="AB44" s="417"/>
      <c r="AC44" s="417"/>
      <c r="AD44" s="417"/>
      <c r="AE44" s="417"/>
      <c r="AF44" s="417"/>
    </row>
    <row r="45" spans="1:32" s="119" customFormat="1" ht="48" customHeight="1">
      <c r="A45" s="417">
        <v>37</v>
      </c>
      <c r="B45" s="310">
        <f>'Nota de venta'!C46</f>
        <v>0</v>
      </c>
      <c r="C45" s="311">
        <f>'Nota de venta'!G46</f>
        <v>0</v>
      </c>
      <c r="D45" s="320">
        <f>'Nota de venta'!E46</f>
        <v>0</v>
      </c>
      <c r="E45" s="320">
        <f>'Nota de venta'!F46</f>
        <v>0</v>
      </c>
      <c r="F45" s="321">
        <v>1.5</v>
      </c>
      <c r="G45" s="312">
        <f>TablaOpTelas[[#This Row],[ANCHO]]+(TablaOpTelas[[#This Row],[exc cms x lado]]/100)*2</f>
        <v>0.03</v>
      </c>
      <c r="H45" s="312">
        <f>TablaOpTelas[[#This Row],[ALTO]]+(TablaOpTelas[[#This Row],[exc cms x lado]]/100)*2</f>
        <v>0.03</v>
      </c>
      <c r="I45" s="312">
        <f>TablaOpTelas[[#This Row],[ancho final]]*TablaOpTelas[[#This Row],[alto final]]</f>
        <v>8.9999999999999998E-4</v>
      </c>
      <c r="J45" s="312">
        <f>TablaOpTelas[[#This Row],[m2 unit]]*TablaOpTelas[[#This Row],['#]]</f>
        <v>0</v>
      </c>
      <c r="K45" s="314">
        <f>TablaOpTelas[[#This Row],[ANCHO]]*TablaOpTelas[[#This Row],[ALTO]]*$J$6</f>
        <v>0</v>
      </c>
      <c r="L45" s="315">
        <f>IF($J$7="CAJA TERMINADA",TablaOpTelas[[#This Row],[ANCHO]]+0.013,TablaOpTelas[[#This Row],[ANCHO]]+0.023)</f>
        <v>1.2999999999999999E-2</v>
      </c>
      <c r="M45" s="316">
        <f>IF($J$7="CAJA TERMINADA",TablaOpTelas[[#This Row],[ALTO]]+0.013,TablaOpTelas[[#This Row],[ALTO]]+0.023)</f>
        <v>1.2999999999999999E-2</v>
      </c>
      <c r="N45" s="433">
        <f>'Nota de venta'!L46</f>
        <v>0</v>
      </c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Y45" s="417"/>
      <c r="Z45" s="417"/>
      <c r="AA45" s="417"/>
      <c r="AB45" s="417"/>
      <c r="AC45" s="417"/>
      <c r="AD45" s="417"/>
      <c r="AE45" s="417"/>
      <c r="AF45" s="417"/>
    </row>
    <row r="46" spans="1:32" s="119" customFormat="1" ht="48" customHeight="1">
      <c r="A46" s="417">
        <v>38</v>
      </c>
      <c r="B46" s="310">
        <f>'Nota de venta'!C47</f>
        <v>0</v>
      </c>
      <c r="C46" s="311">
        <f>'Nota de venta'!G47</f>
        <v>0</v>
      </c>
      <c r="D46" s="320">
        <f>'Nota de venta'!E47</f>
        <v>0</v>
      </c>
      <c r="E46" s="320">
        <f>'Nota de venta'!F47</f>
        <v>0</v>
      </c>
      <c r="F46" s="321">
        <v>1.5</v>
      </c>
      <c r="G46" s="312">
        <f>TablaOpTelas[[#This Row],[ANCHO]]+(TablaOpTelas[[#This Row],[exc cms x lado]]/100)*2</f>
        <v>0.03</v>
      </c>
      <c r="H46" s="312">
        <f>TablaOpTelas[[#This Row],[ALTO]]+(TablaOpTelas[[#This Row],[exc cms x lado]]/100)*2</f>
        <v>0.03</v>
      </c>
      <c r="I46" s="312">
        <f>TablaOpTelas[[#This Row],[ancho final]]*TablaOpTelas[[#This Row],[alto final]]</f>
        <v>8.9999999999999998E-4</v>
      </c>
      <c r="J46" s="312">
        <f>TablaOpTelas[[#This Row],[m2 unit]]*TablaOpTelas[[#This Row],['#]]</f>
        <v>0</v>
      </c>
      <c r="K46" s="314">
        <f>TablaOpTelas[[#This Row],[ANCHO]]*TablaOpTelas[[#This Row],[ALTO]]*$J$6</f>
        <v>0</v>
      </c>
      <c r="L46" s="315">
        <f>IF($J$7="CAJA TERMINADA",TablaOpTelas[[#This Row],[ANCHO]]+0.013,TablaOpTelas[[#This Row],[ANCHO]]+0.023)</f>
        <v>1.2999999999999999E-2</v>
      </c>
      <c r="M46" s="316">
        <f>IF($J$7="CAJA TERMINADA",TablaOpTelas[[#This Row],[ALTO]]+0.013,TablaOpTelas[[#This Row],[ALTO]]+0.023)</f>
        <v>1.2999999999999999E-2</v>
      </c>
      <c r="N46" s="433">
        <f>'Nota de venta'!L47</f>
        <v>0</v>
      </c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Y46" s="417"/>
      <c r="Z46" s="417"/>
      <c r="AA46" s="417"/>
      <c r="AB46" s="417"/>
      <c r="AC46" s="417"/>
      <c r="AD46" s="417"/>
      <c r="AE46" s="417"/>
      <c r="AF46" s="417"/>
    </row>
    <row r="47" spans="1:32" s="119" customFormat="1" ht="48" customHeight="1">
      <c r="A47" s="417">
        <v>39</v>
      </c>
      <c r="B47" s="310">
        <f>'Nota de venta'!C48</f>
        <v>0</v>
      </c>
      <c r="C47" s="311">
        <f>'Nota de venta'!G48</f>
        <v>0</v>
      </c>
      <c r="D47" s="320">
        <f>'Nota de venta'!E48</f>
        <v>0</v>
      </c>
      <c r="E47" s="320">
        <f>'Nota de venta'!F48</f>
        <v>0</v>
      </c>
      <c r="F47" s="321">
        <v>1.5</v>
      </c>
      <c r="G47" s="312">
        <f>TablaOpTelas[[#This Row],[ANCHO]]+(TablaOpTelas[[#This Row],[exc cms x lado]]/100)*2</f>
        <v>0.03</v>
      </c>
      <c r="H47" s="312">
        <f>TablaOpTelas[[#This Row],[ALTO]]+(TablaOpTelas[[#This Row],[exc cms x lado]]/100)*2</f>
        <v>0.03</v>
      </c>
      <c r="I47" s="312">
        <f>TablaOpTelas[[#This Row],[ancho final]]*TablaOpTelas[[#This Row],[alto final]]</f>
        <v>8.9999999999999998E-4</v>
      </c>
      <c r="J47" s="312">
        <f>TablaOpTelas[[#This Row],[m2 unit]]*TablaOpTelas[[#This Row],['#]]</f>
        <v>0</v>
      </c>
      <c r="K47" s="314">
        <f>TablaOpTelas[[#This Row],[ANCHO]]*TablaOpTelas[[#This Row],[ALTO]]*$J$6</f>
        <v>0</v>
      </c>
      <c r="L47" s="315">
        <f>IF($J$7="CAJA TERMINADA",TablaOpTelas[[#This Row],[ANCHO]]+0.013,TablaOpTelas[[#This Row],[ANCHO]]+0.023)</f>
        <v>1.2999999999999999E-2</v>
      </c>
      <c r="M47" s="316">
        <f>IF($J$7="CAJA TERMINADA",TablaOpTelas[[#This Row],[ALTO]]+0.013,TablaOpTelas[[#This Row],[ALTO]]+0.023)</f>
        <v>1.2999999999999999E-2</v>
      </c>
      <c r="N47" s="433">
        <f>'Nota de venta'!L48</f>
        <v>0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417"/>
    </row>
    <row r="48" spans="1:32" s="119" customFormat="1" ht="48" customHeight="1">
      <c r="A48" s="417">
        <v>40</v>
      </c>
      <c r="B48" s="310">
        <f>'Nota de venta'!C49</f>
        <v>0</v>
      </c>
      <c r="C48" s="311">
        <f>'Nota de venta'!G49</f>
        <v>0</v>
      </c>
      <c r="D48" s="320">
        <f>'Nota de venta'!E49</f>
        <v>0</v>
      </c>
      <c r="E48" s="320">
        <f>'Nota de venta'!F49</f>
        <v>0</v>
      </c>
      <c r="F48" s="321">
        <v>1.5</v>
      </c>
      <c r="G48" s="312">
        <f>TablaOpTelas[[#This Row],[ANCHO]]+(TablaOpTelas[[#This Row],[exc cms x lado]]/100)*2</f>
        <v>0.03</v>
      </c>
      <c r="H48" s="312">
        <f>TablaOpTelas[[#This Row],[ALTO]]+(TablaOpTelas[[#This Row],[exc cms x lado]]/100)*2</f>
        <v>0.03</v>
      </c>
      <c r="I48" s="312">
        <f>TablaOpTelas[[#This Row],[ancho final]]*TablaOpTelas[[#This Row],[alto final]]</f>
        <v>8.9999999999999998E-4</v>
      </c>
      <c r="J48" s="312">
        <f>TablaOpTelas[[#This Row],[m2 unit]]*TablaOpTelas[[#This Row],['#]]</f>
        <v>0</v>
      </c>
      <c r="K48" s="314">
        <f>TablaOpTelas[[#This Row],[ANCHO]]*TablaOpTelas[[#This Row],[ALTO]]*$J$6</f>
        <v>0</v>
      </c>
      <c r="L48" s="315">
        <f>IF($J$7="CAJA TERMINADA",TablaOpTelas[[#This Row],[ANCHO]]+0.013,TablaOpTelas[[#This Row],[ANCHO]]+0.023)</f>
        <v>1.2999999999999999E-2</v>
      </c>
      <c r="M48" s="316">
        <f>IF($J$7="CAJA TERMINADA",TablaOpTelas[[#This Row],[ALTO]]+0.013,TablaOpTelas[[#This Row],[ALTO]]+0.023)</f>
        <v>1.2999999999999999E-2</v>
      </c>
      <c r="N48" s="433">
        <f>'Nota de venta'!L49</f>
        <v>0</v>
      </c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417"/>
    </row>
    <row r="49" spans="1:32" s="119" customFormat="1" ht="48" customHeight="1">
      <c r="A49" s="417">
        <v>41</v>
      </c>
      <c r="B49" s="310">
        <f>'Nota de venta'!C50</f>
        <v>0</v>
      </c>
      <c r="C49" s="311">
        <f>'Nota de venta'!G50</f>
        <v>0</v>
      </c>
      <c r="D49" s="320">
        <f>'Nota de venta'!E50</f>
        <v>0</v>
      </c>
      <c r="E49" s="320">
        <f>'Nota de venta'!F50</f>
        <v>0</v>
      </c>
      <c r="F49" s="321">
        <v>1.5</v>
      </c>
      <c r="G49" s="312">
        <f>TablaOpTelas[[#This Row],[ANCHO]]+(TablaOpTelas[[#This Row],[exc cms x lado]]/100)*2</f>
        <v>0.03</v>
      </c>
      <c r="H49" s="312">
        <f>TablaOpTelas[[#This Row],[ALTO]]+(TablaOpTelas[[#This Row],[exc cms x lado]]/100)*2</f>
        <v>0.03</v>
      </c>
      <c r="I49" s="312">
        <f>TablaOpTelas[[#This Row],[ancho final]]*TablaOpTelas[[#This Row],[alto final]]</f>
        <v>8.9999999999999998E-4</v>
      </c>
      <c r="J49" s="312">
        <f>TablaOpTelas[[#This Row],[m2 unit]]*TablaOpTelas[[#This Row],['#]]</f>
        <v>0</v>
      </c>
      <c r="K49" s="314">
        <f>TablaOpTelas[[#This Row],[ANCHO]]*TablaOpTelas[[#This Row],[ALTO]]*$J$6</f>
        <v>0</v>
      </c>
      <c r="L49" s="315">
        <f>IF($J$7="CAJA TERMINADA",TablaOpTelas[[#This Row],[ANCHO]]+0.013,TablaOpTelas[[#This Row],[ANCHO]]+0.023)</f>
        <v>1.2999999999999999E-2</v>
      </c>
      <c r="M49" s="316">
        <f>IF($J$7="CAJA TERMINADA",TablaOpTelas[[#This Row],[ALTO]]+0.013,TablaOpTelas[[#This Row],[ALTO]]+0.023)</f>
        <v>1.2999999999999999E-2</v>
      </c>
      <c r="N49" s="433">
        <f>'Nota de venta'!L50</f>
        <v>0</v>
      </c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Y49" s="417"/>
      <c r="Z49" s="417"/>
      <c r="AA49" s="417"/>
      <c r="AB49" s="417"/>
      <c r="AC49" s="417"/>
      <c r="AD49" s="417"/>
      <c r="AE49" s="417"/>
      <c r="AF49" s="417"/>
    </row>
    <row r="50" spans="1:32" s="119" customFormat="1" ht="48" customHeight="1">
      <c r="A50" s="417">
        <v>42</v>
      </c>
      <c r="B50" s="310">
        <f>'Nota de venta'!C51</f>
        <v>0</v>
      </c>
      <c r="C50" s="311">
        <f>'Nota de venta'!G51</f>
        <v>0</v>
      </c>
      <c r="D50" s="320">
        <f>'Nota de venta'!E51</f>
        <v>0</v>
      </c>
      <c r="E50" s="320">
        <f>'Nota de venta'!F51</f>
        <v>0</v>
      </c>
      <c r="F50" s="321">
        <v>1.5</v>
      </c>
      <c r="G50" s="312">
        <f>TablaOpTelas[[#This Row],[ANCHO]]+(TablaOpTelas[[#This Row],[exc cms x lado]]/100)*2</f>
        <v>0.03</v>
      </c>
      <c r="H50" s="312">
        <f>TablaOpTelas[[#This Row],[ALTO]]+(TablaOpTelas[[#This Row],[exc cms x lado]]/100)*2</f>
        <v>0.03</v>
      </c>
      <c r="I50" s="312">
        <f>TablaOpTelas[[#This Row],[ancho final]]*TablaOpTelas[[#This Row],[alto final]]</f>
        <v>8.9999999999999998E-4</v>
      </c>
      <c r="J50" s="312">
        <f>TablaOpTelas[[#This Row],[m2 unit]]*TablaOpTelas[[#This Row],['#]]</f>
        <v>0</v>
      </c>
      <c r="K50" s="314">
        <f>TablaOpTelas[[#This Row],[ANCHO]]*TablaOpTelas[[#This Row],[ALTO]]*$J$6</f>
        <v>0</v>
      </c>
      <c r="L50" s="315">
        <f>IF($J$7="CAJA TERMINADA",TablaOpTelas[[#This Row],[ANCHO]]+0.013,TablaOpTelas[[#This Row],[ANCHO]]+0.023)</f>
        <v>1.2999999999999999E-2</v>
      </c>
      <c r="M50" s="316">
        <f>IF($J$7="CAJA TERMINADA",TablaOpTelas[[#This Row],[ALTO]]+0.013,TablaOpTelas[[#This Row],[ALTO]]+0.023)</f>
        <v>1.2999999999999999E-2</v>
      </c>
      <c r="N50" s="433">
        <f>'Nota de venta'!L51</f>
        <v>0</v>
      </c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7"/>
      <c r="AA50" s="417"/>
      <c r="AB50" s="417"/>
      <c r="AC50" s="417"/>
      <c r="AD50" s="417"/>
      <c r="AE50" s="417"/>
      <c r="AF50" s="417"/>
    </row>
    <row r="51" spans="1:32" s="119" customFormat="1" ht="48" customHeight="1">
      <c r="A51" s="417">
        <v>43</v>
      </c>
      <c r="B51" s="310">
        <f>'Nota de venta'!C52</f>
        <v>0</v>
      </c>
      <c r="C51" s="311">
        <f>'Nota de venta'!G52</f>
        <v>0</v>
      </c>
      <c r="D51" s="320">
        <f>'Nota de venta'!E52</f>
        <v>0</v>
      </c>
      <c r="E51" s="320">
        <f>'Nota de venta'!F52</f>
        <v>0</v>
      </c>
      <c r="F51" s="321">
        <v>1.5</v>
      </c>
      <c r="G51" s="312">
        <f>TablaOpTelas[[#This Row],[ANCHO]]+(TablaOpTelas[[#This Row],[exc cms x lado]]/100)*2</f>
        <v>0.03</v>
      </c>
      <c r="H51" s="312">
        <f>TablaOpTelas[[#This Row],[ALTO]]+(TablaOpTelas[[#This Row],[exc cms x lado]]/100)*2</f>
        <v>0.03</v>
      </c>
      <c r="I51" s="312">
        <f>TablaOpTelas[[#This Row],[ancho final]]*TablaOpTelas[[#This Row],[alto final]]</f>
        <v>8.9999999999999998E-4</v>
      </c>
      <c r="J51" s="312">
        <f>TablaOpTelas[[#This Row],[m2 unit]]*TablaOpTelas[[#This Row],['#]]</f>
        <v>0</v>
      </c>
      <c r="K51" s="314">
        <f>TablaOpTelas[[#This Row],[ANCHO]]*TablaOpTelas[[#This Row],[ALTO]]*$J$6</f>
        <v>0</v>
      </c>
      <c r="L51" s="315">
        <f>IF($J$7="CAJA TERMINADA",TablaOpTelas[[#This Row],[ANCHO]]+0.013,TablaOpTelas[[#This Row],[ANCHO]]+0.023)</f>
        <v>1.2999999999999999E-2</v>
      </c>
      <c r="M51" s="316">
        <f>IF($J$7="CAJA TERMINADA",TablaOpTelas[[#This Row],[ALTO]]+0.013,TablaOpTelas[[#This Row],[ALTO]]+0.023)</f>
        <v>1.2999999999999999E-2</v>
      </c>
      <c r="N51" s="433">
        <f>'Nota de venta'!L52</f>
        <v>0</v>
      </c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417"/>
    </row>
    <row r="52" spans="1:32" s="119" customFormat="1" ht="48" customHeight="1">
      <c r="A52" s="417">
        <v>44</v>
      </c>
      <c r="B52" s="310">
        <f>'Nota de venta'!C53</f>
        <v>0</v>
      </c>
      <c r="C52" s="311">
        <f>'Nota de venta'!G53</f>
        <v>0</v>
      </c>
      <c r="D52" s="320">
        <f>'Nota de venta'!E53</f>
        <v>0</v>
      </c>
      <c r="E52" s="320">
        <f>'Nota de venta'!F53</f>
        <v>0</v>
      </c>
      <c r="F52" s="321">
        <v>1.5</v>
      </c>
      <c r="G52" s="312">
        <f>TablaOpTelas[[#This Row],[ANCHO]]+(TablaOpTelas[[#This Row],[exc cms x lado]]/100)*2</f>
        <v>0.03</v>
      </c>
      <c r="H52" s="312">
        <f>TablaOpTelas[[#This Row],[ALTO]]+(TablaOpTelas[[#This Row],[exc cms x lado]]/100)*2</f>
        <v>0.03</v>
      </c>
      <c r="I52" s="312">
        <f>TablaOpTelas[[#This Row],[ancho final]]*TablaOpTelas[[#This Row],[alto final]]</f>
        <v>8.9999999999999998E-4</v>
      </c>
      <c r="J52" s="312">
        <f>TablaOpTelas[[#This Row],[m2 unit]]*TablaOpTelas[[#This Row],['#]]</f>
        <v>0</v>
      </c>
      <c r="K52" s="314">
        <f>TablaOpTelas[[#This Row],[ANCHO]]*TablaOpTelas[[#This Row],[ALTO]]*$J$6</f>
        <v>0</v>
      </c>
      <c r="L52" s="315">
        <f>IF($J$7="CAJA TERMINADA",TablaOpTelas[[#This Row],[ANCHO]]+0.013,TablaOpTelas[[#This Row],[ANCHO]]+0.023)</f>
        <v>1.2999999999999999E-2</v>
      </c>
      <c r="M52" s="316">
        <f>IF($J$7="CAJA TERMINADA",TablaOpTelas[[#This Row],[ALTO]]+0.013,TablaOpTelas[[#This Row],[ALTO]]+0.023)</f>
        <v>1.2999999999999999E-2</v>
      </c>
      <c r="N52" s="433">
        <f>'Nota de venta'!L53</f>
        <v>0</v>
      </c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Y52" s="417"/>
      <c r="Z52" s="417"/>
      <c r="AA52" s="417"/>
      <c r="AB52" s="417"/>
      <c r="AC52" s="417"/>
      <c r="AD52" s="417"/>
      <c r="AE52" s="417"/>
      <c r="AF52" s="417"/>
    </row>
    <row r="53" spans="1:32" s="119" customFormat="1" ht="48" customHeight="1">
      <c r="A53" s="417">
        <v>45</v>
      </c>
      <c r="B53" s="310">
        <f>'Nota de venta'!C54</f>
        <v>0</v>
      </c>
      <c r="C53" s="311">
        <f>'Nota de venta'!G54</f>
        <v>0</v>
      </c>
      <c r="D53" s="320">
        <f>'Nota de venta'!E54</f>
        <v>0</v>
      </c>
      <c r="E53" s="320">
        <f>'Nota de venta'!F54</f>
        <v>0</v>
      </c>
      <c r="F53" s="321">
        <v>1.5</v>
      </c>
      <c r="G53" s="312">
        <f>TablaOpTelas[[#This Row],[ANCHO]]+(TablaOpTelas[[#This Row],[exc cms x lado]]/100)*2</f>
        <v>0.03</v>
      </c>
      <c r="H53" s="312">
        <f>TablaOpTelas[[#This Row],[ALTO]]+(TablaOpTelas[[#This Row],[exc cms x lado]]/100)*2</f>
        <v>0.03</v>
      </c>
      <c r="I53" s="312">
        <f>TablaOpTelas[[#This Row],[ancho final]]*TablaOpTelas[[#This Row],[alto final]]</f>
        <v>8.9999999999999998E-4</v>
      </c>
      <c r="J53" s="312">
        <f>TablaOpTelas[[#This Row],[m2 unit]]*TablaOpTelas[[#This Row],['#]]</f>
        <v>0</v>
      </c>
      <c r="K53" s="314">
        <f>TablaOpTelas[[#This Row],[ANCHO]]*TablaOpTelas[[#This Row],[ALTO]]*$J$6</f>
        <v>0</v>
      </c>
      <c r="L53" s="315">
        <f>IF($J$7="CAJA TERMINADA",TablaOpTelas[[#This Row],[ANCHO]]+0.013,TablaOpTelas[[#This Row],[ANCHO]]+0.023)</f>
        <v>1.2999999999999999E-2</v>
      </c>
      <c r="M53" s="316">
        <f>IF($J$7="CAJA TERMINADA",TablaOpTelas[[#This Row],[ALTO]]+0.013,TablaOpTelas[[#This Row],[ALTO]]+0.023)</f>
        <v>1.2999999999999999E-2</v>
      </c>
      <c r="N53" s="433">
        <f>'Nota de venta'!L54</f>
        <v>0</v>
      </c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Y53" s="417"/>
      <c r="Z53" s="417"/>
      <c r="AA53" s="417"/>
      <c r="AB53" s="417"/>
      <c r="AC53" s="417"/>
      <c r="AD53" s="417"/>
      <c r="AE53" s="417"/>
      <c r="AF53" s="417"/>
    </row>
    <row r="54" spans="1:32" s="119" customFormat="1" ht="48" customHeight="1">
      <c r="A54" s="417">
        <v>46</v>
      </c>
      <c r="B54" s="310">
        <f>'Nota de venta'!C55</f>
        <v>0</v>
      </c>
      <c r="C54" s="311">
        <f>'Nota de venta'!G55</f>
        <v>0</v>
      </c>
      <c r="D54" s="320">
        <f>'Nota de venta'!E55</f>
        <v>0</v>
      </c>
      <c r="E54" s="320">
        <f>'Nota de venta'!F55</f>
        <v>0</v>
      </c>
      <c r="F54" s="321">
        <v>1.5</v>
      </c>
      <c r="G54" s="312">
        <f>TablaOpTelas[[#This Row],[ANCHO]]+(TablaOpTelas[[#This Row],[exc cms x lado]]/100)*2</f>
        <v>0.03</v>
      </c>
      <c r="H54" s="312">
        <f>TablaOpTelas[[#This Row],[ALTO]]+(TablaOpTelas[[#This Row],[exc cms x lado]]/100)*2</f>
        <v>0.03</v>
      </c>
      <c r="I54" s="312">
        <f>TablaOpTelas[[#This Row],[ancho final]]*TablaOpTelas[[#This Row],[alto final]]</f>
        <v>8.9999999999999998E-4</v>
      </c>
      <c r="J54" s="312">
        <f>TablaOpTelas[[#This Row],[m2 unit]]*TablaOpTelas[[#This Row],['#]]</f>
        <v>0</v>
      </c>
      <c r="K54" s="314">
        <f>TablaOpTelas[[#This Row],[ANCHO]]*TablaOpTelas[[#This Row],[ALTO]]*$J$6</f>
        <v>0</v>
      </c>
      <c r="L54" s="315">
        <f>IF($J$7="CAJA TERMINADA",TablaOpTelas[[#This Row],[ANCHO]]+0.013,TablaOpTelas[[#This Row],[ANCHO]]+0.023)</f>
        <v>1.2999999999999999E-2</v>
      </c>
      <c r="M54" s="316">
        <f>IF($J$7="CAJA TERMINADA",TablaOpTelas[[#This Row],[ALTO]]+0.013,TablaOpTelas[[#This Row],[ALTO]]+0.023)</f>
        <v>1.2999999999999999E-2</v>
      </c>
      <c r="N54" s="433">
        <f>'Nota de venta'!L55</f>
        <v>0</v>
      </c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Y54" s="417"/>
      <c r="Z54" s="417"/>
      <c r="AA54" s="417"/>
      <c r="AB54" s="417"/>
      <c r="AC54" s="417"/>
      <c r="AD54" s="417"/>
      <c r="AE54" s="417"/>
      <c r="AF54" s="417"/>
    </row>
    <row r="55" spans="1:32" s="119" customFormat="1" ht="48" customHeight="1">
      <c r="A55" s="417">
        <v>47</v>
      </c>
      <c r="B55" s="310">
        <f>'Nota de venta'!C56</f>
        <v>0</v>
      </c>
      <c r="C55" s="311">
        <f>'Nota de venta'!G56</f>
        <v>0</v>
      </c>
      <c r="D55" s="320">
        <f>'Nota de venta'!E56</f>
        <v>0</v>
      </c>
      <c r="E55" s="320">
        <f>'Nota de venta'!F56</f>
        <v>0</v>
      </c>
      <c r="F55" s="321">
        <v>1.5</v>
      </c>
      <c r="G55" s="312">
        <f>TablaOpTelas[[#This Row],[ANCHO]]+(TablaOpTelas[[#This Row],[exc cms x lado]]/100)*2</f>
        <v>0.03</v>
      </c>
      <c r="H55" s="312">
        <f>TablaOpTelas[[#This Row],[ALTO]]+(TablaOpTelas[[#This Row],[exc cms x lado]]/100)*2</f>
        <v>0.03</v>
      </c>
      <c r="I55" s="312">
        <f>TablaOpTelas[[#This Row],[ancho final]]*TablaOpTelas[[#This Row],[alto final]]</f>
        <v>8.9999999999999998E-4</v>
      </c>
      <c r="J55" s="312">
        <f>TablaOpTelas[[#This Row],[m2 unit]]*TablaOpTelas[[#This Row],['#]]</f>
        <v>0</v>
      </c>
      <c r="K55" s="314">
        <f>TablaOpTelas[[#This Row],[ANCHO]]*TablaOpTelas[[#This Row],[ALTO]]*$J$6</f>
        <v>0</v>
      </c>
      <c r="L55" s="315">
        <f>IF($J$7="CAJA TERMINADA",TablaOpTelas[[#This Row],[ANCHO]]+0.013,TablaOpTelas[[#This Row],[ANCHO]]+0.023)</f>
        <v>1.2999999999999999E-2</v>
      </c>
      <c r="M55" s="316">
        <f>IF($J$7="CAJA TERMINADA",TablaOpTelas[[#This Row],[ALTO]]+0.013,TablaOpTelas[[#This Row],[ALTO]]+0.023)</f>
        <v>1.2999999999999999E-2</v>
      </c>
      <c r="N55" s="433">
        <f>'Nota de venta'!L56</f>
        <v>0</v>
      </c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Y55" s="417"/>
      <c r="Z55" s="417"/>
      <c r="AA55" s="417"/>
      <c r="AB55" s="417"/>
      <c r="AC55" s="417"/>
      <c r="AD55" s="417"/>
      <c r="AE55" s="417"/>
      <c r="AF55" s="417"/>
    </row>
    <row r="56" spans="1:32" s="119" customFormat="1" ht="48" customHeight="1">
      <c r="A56" s="417">
        <v>48</v>
      </c>
      <c r="B56" s="310">
        <f>'Nota de venta'!C57</f>
        <v>0</v>
      </c>
      <c r="C56" s="311">
        <f>'Nota de venta'!G57</f>
        <v>0</v>
      </c>
      <c r="D56" s="320">
        <f>'Nota de venta'!E57</f>
        <v>0</v>
      </c>
      <c r="E56" s="320">
        <f>'Nota de venta'!F57</f>
        <v>0</v>
      </c>
      <c r="F56" s="321">
        <v>1.5</v>
      </c>
      <c r="G56" s="312">
        <f>TablaOpTelas[[#This Row],[ANCHO]]+(TablaOpTelas[[#This Row],[exc cms x lado]]/100)*2</f>
        <v>0.03</v>
      </c>
      <c r="H56" s="312">
        <f>TablaOpTelas[[#This Row],[ALTO]]+(TablaOpTelas[[#This Row],[exc cms x lado]]/100)*2</f>
        <v>0.03</v>
      </c>
      <c r="I56" s="312">
        <f>TablaOpTelas[[#This Row],[ancho final]]*TablaOpTelas[[#This Row],[alto final]]</f>
        <v>8.9999999999999998E-4</v>
      </c>
      <c r="J56" s="312">
        <f>TablaOpTelas[[#This Row],[m2 unit]]*TablaOpTelas[[#This Row],['#]]</f>
        <v>0</v>
      </c>
      <c r="K56" s="314">
        <f>TablaOpTelas[[#This Row],[ANCHO]]*TablaOpTelas[[#This Row],[ALTO]]*$J$6</f>
        <v>0</v>
      </c>
      <c r="L56" s="315">
        <f>IF($J$7="CAJA TERMINADA",TablaOpTelas[[#This Row],[ANCHO]]+0.013,TablaOpTelas[[#This Row],[ANCHO]]+0.023)</f>
        <v>1.2999999999999999E-2</v>
      </c>
      <c r="M56" s="316">
        <f>IF($J$7="CAJA TERMINADA",TablaOpTelas[[#This Row],[ALTO]]+0.013,TablaOpTelas[[#This Row],[ALTO]]+0.023)</f>
        <v>1.2999999999999999E-2</v>
      </c>
      <c r="N56" s="433">
        <f>'Nota de venta'!L57</f>
        <v>0</v>
      </c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Y56" s="417"/>
      <c r="Z56" s="417"/>
      <c r="AA56" s="417"/>
      <c r="AB56" s="417"/>
      <c r="AC56" s="417"/>
      <c r="AD56" s="417"/>
      <c r="AE56" s="417"/>
      <c r="AF56" s="417"/>
    </row>
    <row r="57" spans="1:32" s="119" customFormat="1" ht="48" customHeight="1">
      <c r="A57" s="417">
        <v>49</v>
      </c>
      <c r="B57" s="310">
        <f>'Nota de venta'!C58</f>
        <v>0</v>
      </c>
      <c r="C57" s="311">
        <f>'Nota de venta'!G58</f>
        <v>0</v>
      </c>
      <c r="D57" s="320">
        <f>'Nota de venta'!E58</f>
        <v>0</v>
      </c>
      <c r="E57" s="320">
        <f>'Nota de venta'!F58</f>
        <v>0</v>
      </c>
      <c r="F57" s="321">
        <v>1.5</v>
      </c>
      <c r="G57" s="312">
        <f>TablaOpTelas[[#This Row],[ANCHO]]+(TablaOpTelas[[#This Row],[exc cms x lado]]/100)*2</f>
        <v>0.03</v>
      </c>
      <c r="H57" s="312">
        <f>TablaOpTelas[[#This Row],[ALTO]]+(TablaOpTelas[[#This Row],[exc cms x lado]]/100)*2</f>
        <v>0.03</v>
      </c>
      <c r="I57" s="312">
        <f>TablaOpTelas[[#This Row],[ancho final]]*TablaOpTelas[[#This Row],[alto final]]</f>
        <v>8.9999999999999998E-4</v>
      </c>
      <c r="J57" s="312">
        <f>TablaOpTelas[[#This Row],[m2 unit]]*TablaOpTelas[[#This Row],['#]]</f>
        <v>0</v>
      </c>
      <c r="K57" s="314">
        <f>TablaOpTelas[[#This Row],[ANCHO]]*TablaOpTelas[[#This Row],[ALTO]]*$J$6</f>
        <v>0</v>
      </c>
      <c r="L57" s="315">
        <f>IF($J$7="CAJA TERMINADA",TablaOpTelas[[#This Row],[ANCHO]]+0.013,TablaOpTelas[[#This Row],[ANCHO]]+0.023)</f>
        <v>1.2999999999999999E-2</v>
      </c>
      <c r="M57" s="316">
        <f>IF($J$7="CAJA TERMINADA",TablaOpTelas[[#This Row],[ALTO]]+0.013,TablaOpTelas[[#This Row],[ALTO]]+0.023)</f>
        <v>1.2999999999999999E-2</v>
      </c>
      <c r="N57" s="433">
        <f>'Nota de venta'!L58</f>
        <v>0</v>
      </c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Y57" s="417"/>
      <c r="Z57" s="417"/>
      <c r="AA57" s="417"/>
      <c r="AB57" s="417"/>
      <c r="AC57" s="417"/>
      <c r="AD57" s="417"/>
      <c r="AE57" s="417"/>
      <c r="AF57" s="417"/>
    </row>
    <row r="58" spans="1:32" s="119" customFormat="1" ht="48" customHeight="1">
      <c r="A58" s="417">
        <v>50</v>
      </c>
      <c r="B58" s="310">
        <f>'Nota de venta'!C59</f>
        <v>0</v>
      </c>
      <c r="C58" s="311">
        <f>'Nota de venta'!G59</f>
        <v>0</v>
      </c>
      <c r="D58" s="320">
        <f>'Nota de venta'!E59</f>
        <v>0</v>
      </c>
      <c r="E58" s="320">
        <f>'Nota de venta'!F59</f>
        <v>0</v>
      </c>
      <c r="F58" s="321">
        <v>1.5</v>
      </c>
      <c r="G58" s="312">
        <f>TablaOpTelas[[#This Row],[ANCHO]]+(TablaOpTelas[[#This Row],[exc cms x lado]]/100)*2</f>
        <v>0.03</v>
      </c>
      <c r="H58" s="312">
        <f>TablaOpTelas[[#This Row],[ALTO]]+(TablaOpTelas[[#This Row],[exc cms x lado]]/100)*2</f>
        <v>0.03</v>
      </c>
      <c r="I58" s="312">
        <f>TablaOpTelas[[#This Row],[ancho final]]*TablaOpTelas[[#This Row],[alto final]]</f>
        <v>8.9999999999999998E-4</v>
      </c>
      <c r="J58" s="312">
        <f>TablaOpTelas[[#This Row],[m2 unit]]*TablaOpTelas[[#This Row],['#]]</f>
        <v>0</v>
      </c>
      <c r="K58" s="314">
        <f>TablaOpTelas[[#This Row],[ANCHO]]*TablaOpTelas[[#This Row],[ALTO]]*$J$6</f>
        <v>0</v>
      </c>
      <c r="L58" s="315">
        <f>IF($J$7="CAJA TERMINADA",TablaOpTelas[[#This Row],[ANCHO]]+0.013,TablaOpTelas[[#This Row],[ANCHO]]+0.023)</f>
        <v>1.2999999999999999E-2</v>
      </c>
      <c r="M58" s="316">
        <f>IF($J$7="CAJA TERMINADA",TablaOpTelas[[#This Row],[ALTO]]+0.013,TablaOpTelas[[#This Row],[ALTO]]+0.023)</f>
        <v>1.2999999999999999E-2</v>
      </c>
      <c r="N58" s="433">
        <f>'Nota de venta'!L59</f>
        <v>0</v>
      </c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Y58" s="417"/>
      <c r="Z58" s="417"/>
      <c r="AA58" s="417"/>
      <c r="AB58" s="417"/>
      <c r="AC58" s="417"/>
      <c r="AD58" s="417"/>
      <c r="AE58" s="417"/>
      <c r="AF58" s="417"/>
    </row>
    <row r="59" spans="1:32" s="119" customFormat="1" ht="48" customHeight="1">
      <c r="A59" s="417">
        <v>51</v>
      </c>
      <c r="B59" s="310">
        <f>'Nota de venta'!C60</f>
        <v>0</v>
      </c>
      <c r="C59" s="311">
        <f>'Nota de venta'!G60</f>
        <v>0</v>
      </c>
      <c r="D59" s="320">
        <f>'Nota de venta'!E60</f>
        <v>0</v>
      </c>
      <c r="E59" s="320">
        <f>'Nota de venta'!F60</f>
        <v>0</v>
      </c>
      <c r="F59" s="321">
        <v>1.5</v>
      </c>
      <c r="G59" s="312">
        <f>TablaOpTelas[[#This Row],[ANCHO]]+(TablaOpTelas[[#This Row],[exc cms x lado]]/100)*2</f>
        <v>0.03</v>
      </c>
      <c r="H59" s="312">
        <f>TablaOpTelas[[#This Row],[ALTO]]+(TablaOpTelas[[#This Row],[exc cms x lado]]/100)*2</f>
        <v>0.03</v>
      </c>
      <c r="I59" s="312">
        <f>TablaOpTelas[[#This Row],[ancho final]]*TablaOpTelas[[#This Row],[alto final]]</f>
        <v>8.9999999999999998E-4</v>
      </c>
      <c r="J59" s="312">
        <f>TablaOpTelas[[#This Row],[m2 unit]]*TablaOpTelas[[#This Row],['#]]</f>
        <v>0</v>
      </c>
      <c r="K59" s="314">
        <f>TablaOpTelas[[#This Row],[ANCHO]]*TablaOpTelas[[#This Row],[ALTO]]*$J$6</f>
        <v>0</v>
      </c>
      <c r="L59" s="315">
        <f>IF($J$7="CAJA TERMINADA",TablaOpTelas[[#This Row],[ANCHO]]+0.013,TablaOpTelas[[#This Row],[ANCHO]]+0.023)</f>
        <v>1.2999999999999999E-2</v>
      </c>
      <c r="M59" s="316">
        <f>IF($J$7="CAJA TERMINADA",TablaOpTelas[[#This Row],[ALTO]]+0.013,TablaOpTelas[[#This Row],[ALTO]]+0.023)</f>
        <v>1.2999999999999999E-2</v>
      </c>
      <c r="N59" s="433">
        <f>'Nota de venta'!L60</f>
        <v>0</v>
      </c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Y59" s="417"/>
      <c r="Z59" s="417"/>
      <c r="AA59" s="417"/>
      <c r="AB59" s="417"/>
      <c r="AC59" s="417"/>
      <c r="AD59" s="417"/>
      <c r="AE59" s="417"/>
      <c r="AF59" s="417"/>
    </row>
    <row r="60" spans="1:32" s="119" customFormat="1" ht="48" customHeight="1">
      <c r="A60" s="417">
        <v>52</v>
      </c>
      <c r="B60" s="310">
        <f>'Nota de venta'!C61</f>
        <v>0</v>
      </c>
      <c r="C60" s="311">
        <f>'Nota de venta'!G61</f>
        <v>0</v>
      </c>
      <c r="D60" s="320">
        <f>'Nota de venta'!E61</f>
        <v>0</v>
      </c>
      <c r="E60" s="320">
        <f>'Nota de venta'!F61</f>
        <v>0</v>
      </c>
      <c r="F60" s="321">
        <v>1.5</v>
      </c>
      <c r="G60" s="312">
        <f>TablaOpTelas[[#This Row],[ANCHO]]+(TablaOpTelas[[#This Row],[exc cms x lado]]/100)*2</f>
        <v>0.03</v>
      </c>
      <c r="H60" s="312">
        <f>TablaOpTelas[[#This Row],[ALTO]]+(TablaOpTelas[[#This Row],[exc cms x lado]]/100)*2</f>
        <v>0.03</v>
      </c>
      <c r="I60" s="312">
        <f>TablaOpTelas[[#This Row],[ancho final]]*TablaOpTelas[[#This Row],[alto final]]</f>
        <v>8.9999999999999998E-4</v>
      </c>
      <c r="J60" s="312">
        <f>TablaOpTelas[[#This Row],[m2 unit]]*TablaOpTelas[[#This Row],['#]]</f>
        <v>0</v>
      </c>
      <c r="K60" s="314">
        <f>TablaOpTelas[[#This Row],[ANCHO]]*TablaOpTelas[[#This Row],[ALTO]]*$J$6</f>
        <v>0</v>
      </c>
      <c r="L60" s="315">
        <f>IF($J$7="CAJA TERMINADA",TablaOpTelas[[#This Row],[ANCHO]]+0.013,TablaOpTelas[[#This Row],[ANCHO]]+0.023)</f>
        <v>1.2999999999999999E-2</v>
      </c>
      <c r="M60" s="316">
        <f>IF($J$7="CAJA TERMINADA",TablaOpTelas[[#This Row],[ALTO]]+0.013,TablaOpTelas[[#This Row],[ALTO]]+0.023)</f>
        <v>1.2999999999999999E-2</v>
      </c>
      <c r="N60" s="433">
        <f>'Nota de venta'!L61</f>
        <v>0</v>
      </c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Y60" s="417"/>
      <c r="Z60" s="417"/>
      <c r="AA60" s="417"/>
      <c r="AB60" s="417"/>
      <c r="AC60" s="417"/>
      <c r="AD60" s="417"/>
      <c r="AE60" s="417"/>
      <c r="AF60" s="417"/>
    </row>
    <row r="61" spans="1:32" s="119" customFormat="1" ht="48" customHeight="1">
      <c r="A61" s="417">
        <v>53</v>
      </c>
      <c r="B61" s="310">
        <f>'Nota de venta'!C62</f>
        <v>0</v>
      </c>
      <c r="C61" s="311">
        <f>'Nota de venta'!G62</f>
        <v>0</v>
      </c>
      <c r="D61" s="320">
        <f>'Nota de venta'!E62</f>
        <v>0</v>
      </c>
      <c r="E61" s="320">
        <f>'Nota de venta'!F62</f>
        <v>0</v>
      </c>
      <c r="F61" s="321">
        <v>1.5</v>
      </c>
      <c r="G61" s="312">
        <f>TablaOpTelas[[#This Row],[ANCHO]]+(TablaOpTelas[[#This Row],[exc cms x lado]]/100)*2</f>
        <v>0.03</v>
      </c>
      <c r="H61" s="312">
        <f>TablaOpTelas[[#This Row],[ALTO]]+(TablaOpTelas[[#This Row],[exc cms x lado]]/100)*2</f>
        <v>0.03</v>
      </c>
      <c r="I61" s="312">
        <f>TablaOpTelas[[#This Row],[ancho final]]*TablaOpTelas[[#This Row],[alto final]]</f>
        <v>8.9999999999999998E-4</v>
      </c>
      <c r="J61" s="312">
        <f>TablaOpTelas[[#This Row],[m2 unit]]*TablaOpTelas[[#This Row],['#]]</f>
        <v>0</v>
      </c>
      <c r="K61" s="314">
        <f>TablaOpTelas[[#This Row],[ANCHO]]*TablaOpTelas[[#This Row],[ALTO]]*$J$6</f>
        <v>0</v>
      </c>
      <c r="L61" s="315">
        <f>IF($J$7="CAJA TERMINADA",TablaOpTelas[[#This Row],[ANCHO]]+0.013,TablaOpTelas[[#This Row],[ANCHO]]+0.023)</f>
        <v>1.2999999999999999E-2</v>
      </c>
      <c r="M61" s="316">
        <f>IF($J$7="CAJA TERMINADA",TablaOpTelas[[#This Row],[ALTO]]+0.013,TablaOpTelas[[#This Row],[ALTO]]+0.023)</f>
        <v>1.2999999999999999E-2</v>
      </c>
      <c r="N61" s="433">
        <f>'Nota de venta'!L62</f>
        <v>0</v>
      </c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Y61" s="417"/>
      <c r="Z61" s="417"/>
      <c r="AA61" s="417"/>
      <c r="AB61" s="417"/>
      <c r="AC61" s="417"/>
      <c r="AD61" s="417"/>
      <c r="AE61" s="417"/>
      <c r="AF61" s="417"/>
    </row>
    <row r="62" spans="1:32" s="119" customFormat="1" ht="48" customHeight="1">
      <c r="A62" s="417">
        <v>54</v>
      </c>
      <c r="B62" s="310">
        <f>'Nota de venta'!C63</f>
        <v>0</v>
      </c>
      <c r="C62" s="311">
        <f>'Nota de venta'!G63</f>
        <v>0</v>
      </c>
      <c r="D62" s="320">
        <f>'Nota de venta'!E63</f>
        <v>0</v>
      </c>
      <c r="E62" s="320">
        <f>'Nota de venta'!F63</f>
        <v>0</v>
      </c>
      <c r="F62" s="321">
        <v>1.5</v>
      </c>
      <c r="G62" s="312">
        <f>TablaOpTelas[[#This Row],[ANCHO]]+(TablaOpTelas[[#This Row],[exc cms x lado]]/100)*2</f>
        <v>0.03</v>
      </c>
      <c r="H62" s="312">
        <f>TablaOpTelas[[#This Row],[ALTO]]+(TablaOpTelas[[#This Row],[exc cms x lado]]/100)*2</f>
        <v>0.03</v>
      </c>
      <c r="I62" s="312">
        <f>TablaOpTelas[[#This Row],[ancho final]]*TablaOpTelas[[#This Row],[alto final]]</f>
        <v>8.9999999999999998E-4</v>
      </c>
      <c r="J62" s="312">
        <f>TablaOpTelas[[#This Row],[m2 unit]]*TablaOpTelas[[#This Row],['#]]</f>
        <v>0</v>
      </c>
      <c r="K62" s="314">
        <f>TablaOpTelas[[#This Row],[ANCHO]]*TablaOpTelas[[#This Row],[ALTO]]*$J$6</f>
        <v>0</v>
      </c>
      <c r="L62" s="315">
        <f>IF($J$7="CAJA TERMINADA",TablaOpTelas[[#This Row],[ANCHO]]+0.013,TablaOpTelas[[#This Row],[ANCHO]]+0.023)</f>
        <v>1.2999999999999999E-2</v>
      </c>
      <c r="M62" s="316">
        <f>IF($J$7="CAJA TERMINADA",TablaOpTelas[[#This Row],[ALTO]]+0.013,TablaOpTelas[[#This Row],[ALTO]]+0.023)</f>
        <v>1.2999999999999999E-2</v>
      </c>
      <c r="N62" s="433">
        <f>'Nota de venta'!L63</f>
        <v>0</v>
      </c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Y62" s="417"/>
      <c r="Z62" s="417"/>
      <c r="AA62" s="417"/>
      <c r="AB62" s="417"/>
      <c r="AC62" s="417"/>
      <c r="AD62" s="417"/>
      <c r="AE62" s="417"/>
      <c r="AF62" s="417"/>
    </row>
    <row r="63" spans="1:32" s="119" customFormat="1" ht="48" customHeight="1">
      <c r="A63" s="417">
        <v>55</v>
      </c>
      <c r="B63" s="310">
        <f>'Nota de venta'!C64</f>
        <v>0</v>
      </c>
      <c r="C63" s="311">
        <f>'Nota de venta'!G64</f>
        <v>0</v>
      </c>
      <c r="D63" s="320">
        <f>'Nota de venta'!E64</f>
        <v>0</v>
      </c>
      <c r="E63" s="320">
        <f>'Nota de venta'!F64</f>
        <v>0</v>
      </c>
      <c r="F63" s="321">
        <v>1.5</v>
      </c>
      <c r="G63" s="312">
        <f>TablaOpTelas[[#This Row],[ANCHO]]+(TablaOpTelas[[#This Row],[exc cms x lado]]/100)*2</f>
        <v>0.03</v>
      </c>
      <c r="H63" s="312">
        <f>TablaOpTelas[[#This Row],[ALTO]]+(TablaOpTelas[[#This Row],[exc cms x lado]]/100)*2</f>
        <v>0.03</v>
      </c>
      <c r="I63" s="312">
        <f>TablaOpTelas[[#This Row],[ancho final]]*TablaOpTelas[[#This Row],[alto final]]</f>
        <v>8.9999999999999998E-4</v>
      </c>
      <c r="J63" s="312">
        <f>TablaOpTelas[[#This Row],[m2 unit]]*TablaOpTelas[[#This Row],['#]]</f>
        <v>0</v>
      </c>
      <c r="K63" s="314">
        <f>TablaOpTelas[[#This Row],[ANCHO]]*TablaOpTelas[[#This Row],[ALTO]]*$J$6</f>
        <v>0</v>
      </c>
      <c r="L63" s="315">
        <f>IF($J$7="CAJA TERMINADA",TablaOpTelas[[#This Row],[ANCHO]]+0.013,TablaOpTelas[[#This Row],[ANCHO]]+0.023)</f>
        <v>1.2999999999999999E-2</v>
      </c>
      <c r="M63" s="316">
        <f>IF($J$7="CAJA TERMINADA",TablaOpTelas[[#This Row],[ALTO]]+0.013,TablaOpTelas[[#This Row],[ALTO]]+0.023)</f>
        <v>1.2999999999999999E-2</v>
      </c>
      <c r="N63" s="433">
        <f>'Nota de venta'!L64</f>
        <v>0</v>
      </c>
      <c r="O63" s="417"/>
      <c r="P63" s="417"/>
      <c r="Q63" s="417"/>
      <c r="R63" s="417"/>
      <c r="S63" s="417"/>
      <c r="T63" s="417"/>
      <c r="U63" s="417"/>
      <c r="V63" s="417"/>
      <c r="W63" s="417"/>
      <c r="X63" s="417"/>
      <c r="Y63" s="417"/>
      <c r="Z63" s="417"/>
      <c r="AA63" s="417"/>
      <c r="AB63" s="417"/>
      <c r="AC63" s="417"/>
      <c r="AD63" s="417"/>
      <c r="AE63" s="417"/>
      <c r="AF63" s="417"/>
    </row>
    <row r="64" spans="1:32" s="119" customFormat="1" ht="48" customHeight="1">
      <c r="A64" s="417">
        <v>56</v>
      </c>
      <c r="B64" s="310">
        <f>'Nota de venta'!C65</f>
        <v>0</v>
      </c>
      <c r="C64" s="311">
        <f>'Nota de venta'!G65</f>
        <v>0</v>
      </c>
      <c r="D64" s="320">
        <f>'Nota de venta'!E65</f>
        <v>0</v>
      </c>
      <c r="E64" s="320">
        <f>'Nota de venta'!F65</f>
        <v>0</v>
      </c>
      <c r="F64" s="321">
        <v>1.5</v>
      </c>
      <c r="G64" s="312">
        <f>TablaOpTelas[[#This Row],[ANCHO]]+(TablaOpTelas[[#This Row],[exc cms x lado]]/100)*2</f>
        <v>0.03</v>
      </c>
      <c r="H64" s="312">
        <f>TablaOpTelas[[#This Row],[ALTO]]+(TablaOpTelas[[#This Row],[exc cms x lado]]/100)*2</f>
        <v>0.03</v>
      </c>
      <c r="I64" s="312">
        <f>TablaOpTelas[[#This Row],[ancho final]]*TablaOpTelas[[#This Row],[alto final]]</f>
        <v>8.9999999999999998E-4</v>
      </c>
      <c r="J64" s="312">
        <f>TablaOpTelas[[#This Row],[m2 unit]]*TablaOpTelas[[#This Row],['#]]</f>
        <v>0</v>
      </c>
      <c r="K64" s="314">
        <f>TablaOpTelas[[#This Row],[ANCHO]]*TablaOpTelas[[#This Row],[ALTO]]*$J$6</f>
        <v>0</v>
      </c>
      <c r="L64" s="315">
        <f>IF($J$7="CAJA TERMINADA",TablaOpTelas[[#This Row],[ANCHO]]+0.013,TablaOpTelas[[#This Row],[ANCHO]]+0.023)</f>
        <v>1.2999999999999999E-2</v>
      </c>
      <c r="M64" s="316">
        <f>IF($J$7="CAJA TERMINADA",TablaOpTelas[[#This Row],[ALTO]]+0.013,TablaOpTelas[[#This Row],[ALTO]]+0.023)</f>
        <v>1.2999999999999999E-2</v>
      </c>
      <c r="N64" s="433">
        <f>'Nota de venta'!L65</f>
        <v>0</v>
      </c>
      <c r="O64" s="417"/>
      <c r="P64" s="417"/>
      <c r="Q64" s="417"/>
      <c r="R64" s="417"/>
      <c r="S64" s="417"/>
      <c r="T64" s="417"/>
      <c r="U64" s="417"/>
      <c r="V64" s="417"/>
      <c r="W64" s="417"/>
      <c r="X64" s="417"/>
      <c r="Y64" s="417"/>
      <c r="Z64" s="417"/>
      <c r="AA64" s="417"/>
      <c r="AB64" s="417"/>
      <c r="AC64" s="417"/>
      <c r="AD64" s="417"/>
      <c r="AE64" s="417"/>
      <c r="AF64" s="417"/>
    </row>
    <row r="65" spans="1:32" s="119" customFormat="1" ht="48" customHeight="1">
      <c r="A65" s="417">
        <v>57</v>
      </c>
      <c r="B65" s="310">
        <f>'Nota de venta'!C66</f>
        <v>0</v>
      </c>
      <c r="C65" s="311">
        <f>'Nota de venta'!G66</f>
        <v>0</v>
      </c>
      <c r="D65" s="320">
        <f>'Nota de venta'!E66</f>
        <v>0</v>
      </c>
      <c r="E65" s="320">
        <f>'Nota de venta'!F66</f>
        <v>0</v>
      </c>
      <c r="F65" s="321">
        <v>1.5</v>
      </c>
      <c r="G65" s="312">
        <f>TablaOpTelas[[#This Row],[ANCHO]]+(TablaOpTelas[[#This Row],[exc cms x lado]]/100)*2</f>
        <v>0.03</v>
      </c>
      <c r="H65" s="312">
        <f>TablaOpTelas[[#This Row],[ALTO]]+(TablaOpTelas[[#This Row],[exc cms x lado]]/100)*2</f>
        <v>0.03</v>
      </c>
      <c r="I65" s="312">
        <f>TablaOpTelas[[#This Row],[ancho final]]*TablaOpTelas[[#This Row],[alto final]]</f>
        <v>8.9999999999999998E-4</v>
      </c>
      <c r="J65" s="312">
        <f>TablaOpTelas[[#This Row],[m2 unit]]*TablaOpTelas[[#This Row],['#]]</f>
        <v>0</v>
      </c>
      <c r="K65" s="314">
        <f>TablaOpTelas[[#This Row],[ANCHO]]*TablaOpTelas[[#This Row],[ALTO]]*$J$6</f>
        <v>0</v>
      </c>
      <c r="L65" s="315">
        <f>IF($J$7="CAJA TERMINADA",TablaOpTelas[[#This Row],[ANCHO]]+0.013,TablaOpTelas[[#This Row],[ANCHO]]+0.023)</f>
        <v>1.2999999999999999E-2</v>
      </c>
      <c r="M65" s="316">
        <f>IF($J$7="CAJA TERMINADA",TablaOpTelas[[#This Row],[ALTO]]+0.013,TablaOpTelas[[#This Row],[ALTO]]+0.023)</f>
        <v>1.2999999999999999E-2</v>
      </c>
      <c r="N65" s="433">
        <f>'Nota de venta'!L66</f>
        <v>0</v>
      </c>
      <c r="O65" s="417"/>
      <c r="P65" s="417"/>
      <c r="Q65" s="417"/>
      <c r="R65" s="417"/>
      <c r="S65" s="417"/>
      <c r="T65" s="417"/>
      <c r="U65" s="417"/>
      <c r="V65" s="417"/>
      <c r="W65" s="417"/>
      <c r="X65" s="417"/>
      <c r="Y65" s="417"/>
      <c r="Z65" s="417"/>
      <c r="AA65" s="417"/>
      <c r="AB65" s="417"/>
      <c r="AC65" s="417"/>
      <c r="AD65" s="417"/>
      <c r="AE65" s="417"/>
      <c r="AF65" s="417"/>
    </row>
    <row r="66" spans="1:32" s="119" customFormat="1" ht="48" customHeight="1">
      <c r="A66" s="417">
        <v>58</v>
      </c>
      <c r="B66" s="310">
        <f>'Nota de venta'!C67</f>
        <v>0</v>
      </c>
      <c r="C66" s="311">
        <f>'Nota de venta'!G67</f>
        <v>0</v>
      </c>
      <c r="D66" s="320">
        <f>'Nota de venta'!E67</f>
        <v>0</v>
      </c>
      <c r="E66" s="320">
        <f>'Nota de venta'!F67</f>
        <v>0</v>
      </c>
      <c r="F66" s="321">
        <v>1.5</v>
      </c>
      <c r="G66" s="312">
        <f>TablaOpTelas[[#This Row],[ANCHO]]+(TablaOpTelas[[#This Row],[exc cms x lado]]/100)*2</f>
        <v>0.03</v>
      </c>
      <c r="H66" s="312">
        <f>TablaOpTelas[[#This Row],[ALTO]]+(TablaOpTelas[[#This Row],[exc cms x lado]]/100)*2</f>
        <v>0.03</v>
      </c>
      <c r="I66" s="312">
        <f>TablaOpTelas[[#This Row],[ancho final]]*TablaOpTelas[[#This Row],[alto final]]</f>
        <v>8.9999999999999998E-4</v>
      </c>
      <c r="J66" s="312">
        <f>TablaOpTelas[[#This Row],[m2 unit]]*TablaOpTelas[[#This Row],['#]]</f>
        <v>0</v>
      </c>
      <c r="K66" s="314">
        <f>TablaOpTelas[[#This Row],[ANCHO]]*TablaOpTelas[[#This Row],[ALTO]]*$J$6</f>
        <v>0</v>
      </c>
      <c r="L66" s="315">
        <f>IF($J$7="CAJA TERMINADA",TablaOpTelas[[#This Row],[ANCHO]]+0.013,TablaOpTelas[[#This Row],[ANCHO]]+0.023)</f>
        <v>1.2999999999999999E-2</v>
      </c>
      <c r="M66" s="316">
        <f>IF($J$7="CAJA TERMINADA",TablaOpTelas[[#This Row],[ALTO]]+0.013,TablaOpTelas[[#This Row],[ALTO]]+0.023)</f>
        <v>1.2999999999999999E-2</v>
      </c>
      <c r="N66" s="433">
        <f>'Nota de venta'!L67</f>
        <v>0</v>
      </c>
      <c r="O66" s="417"/>
      <c r="P66" s="417"/>
      <c r="Q66" s="417"/>
      <c r="R66" s="417"/>
      <c r="S66" s="417"/>
      <c r="T66" s="417"/>
      <c r="U66" s="417"/>
      <c r="V66" s="417"/>
      <c r="W66" s="417"/>
      <c r="X66" s="417"/>
      <c r="Y66" s="417"/>
      <c r="Z66" s="417"/>
      <c r="AA66" s="417"/>
      <c r="AB66" s="417"/>
      <c r="AC66" s="417"/>
      <c r="AD66" s="417"/>
      <c r="AE66" s="417"/>
      <c r="AF66" s="417"/>
    </row>
    <row r="67" spans="1:32" s="119" customFormat="1" ht="48" customHeight="1">
      <c r="A67" s="417">
        <v>59</v>
      </c>
      <c r="B67" s="310">
        <f>'Nota de venta'!C68</f>
        <v>0</v>
      </c>
      <c r="C67" s="311">
        <f>'Nota de venta'!G68</f>
        <v>0</v>
      </c>
      <c r="D67" s="320">
        <f>'Nota de venta'!E68</f>
        <v>0</v>
      </c>
      <c r="E67" s="320">
        <f>'Nota de venta'!F68</f>
        <v>0</v>
      </c>
      <c r="F67" s="321">
        <v>1.5</v>
      </c>
      <c r="G67" s="312">
        <f>TablaOpTelas[[#This Row],[ANCHO]]+(TablaOpTelas[[#This Row],[exc cms x lado]]/100)*2</f>
        <v>0.03</v>
      </c>
      <c r="H67" s="312">
        <f>TablaOpTelas[[#This Row],[ALTO]]+(TablaOpTelas[[#This Row],[exc cms x lado]]/100)*2</f>
        <v>0.03</v>
      </c>
      <c r="I67" s="312">
        <f>TablaOpTelas[[#This Row],[ancho final]]*TablaOpTelas[[#This Row],[alto final]]</f>
        <v>8.9999999999999998E-4</v>
      </c>
      <c r="J67" s="312">
        <f>TablaOpTelas[[#This Row],[m2 unit]]*TablaOpTelas[[#This Row],['#]]</f>
        <v>0</v>
      </c>
      <c r="K67" s="314">
        <f>TablaOpTelas[[#This Row],[ANCHO]]*TablaOpTelas[[#This Row],[ALTO]]*$J$6</f>
        <v>0</v>
      </c>
      <c r="L67" s="315">
        <f>IF($J$7="CAJA TERMINADA",TablaOpTelas[[#This Row],[ANCHO]]+0.013,TablaOpTelas[[#This Row],[ANCHO]]+0.023)</f>
        <v>1.2999999999999999E-2</v>
      </c>
      <c r="M67" s="316">
        <f>IF($J$7="CAJA TERMINADA",TablaOpTelas[[#This Row],[ALTO]]+0.013,TablaOpTelas[[#This Row],[ALTO]]+0.023)</f>
        <v>1.2999999999999999E-2</v>
      </c>
      <c r="N67" s="433">
        <f>'Nota de venta'!L68</f>
        <v>0</v>
      </c>
      <c r="O67" s="417"/>
      <c r="P67" s="417"/>
      <c r="Q67" s="417"/>
      <c r="R67" s="417"/>
      <c r="S67" s="417"/>
      <c r="T67" s="417"/>
      <c r="U67" s="417"/>
      <c r="V67" s="417"/>
      <c r="W67" s="417"/>
      <c r="X67" s="417"/>
      <c r="Y67" s="417"/>
      <c r="Z67" s="417"/>
      <c r="AA67" s="417"/>
      <c r="AB67" s="417"/>
      <c r="AC67" s="417"/>
      <c r="AD67" s="417"/>
      <c r="AE67" s="417"/>
      <c r="AF67" s="417"/>
    </row>
    <row r="68" spans="1:32" s="119" customFormat="1" ht="48" customHeight="1">
      <c r="A68" s="417">
        <v>60</v>
      </c>
      <c r="B68" s="310">
        <f>'Nota de venta'!C69</f>
        <v>0</v>
      </c>
      <c r="C68" s="311">
        <f>'Nota de venta'!G69</f>
        <v>0</v>
      </c>
      <c r="D68" s="320">
        <f>'Nota de venta'!E69</f>
        <v>0</v>
      </c>
      <c r="E68" s="320">
        <f>'Nota de venta'!F69</f>
        <v>0</v>
      </c>
      <c r="F68" s="321">
        <v>1.5</v>
      </c>
      <c r="G68" s="312">
        <f>TablaOpTelas[[#This Row],[ANCHO]]+(TablaOpTelas[[#This Row],[exc cms x lado]]/100)*2</f>
        <v>0.03</v>
      </c>
      <c r="H68" s="312">
        <f>TablaOpTelas[[#This Row],[ALTO]]+(TablaOpTelas[[#This Row],[exc cms x lado]]/100)*2</f>
        <v>0.03</v>
      </c>
      <c r="I68" s="312">
        <f>TablaOpTelas[[#This Row],[ancho final]]*TablaOpTelas[[#This Row],[alto final]]</f>
        <v>8.9999999999999998E-4</v>
      </c>
      <c r="J68" s="312">
        <f>TablaOpTelas[[#This Row],[m2 unit]]*TablaOpTelas[[#This Row],['#]]</f>
        <v>0</v>
      </c>
      <c r="K68" s="314">
        <f>TablaOpTelas[[#This Row],[ANCHO]]*TablaOpTelas[[#This Row],[ALTO]]*$J$6</f>
        <v>0</v>
      </c>
      <c r="L68" s="315">
        <f>IF($J$7="CAJA TERMINADA",TablaOpTelas[[#This Row],[ANCHO]]+0.013,TablaOpTelas[[#This Row],[ANCHO]]+0.023)</f>
        <v>1.2999999999999999E-2</v>
      </c>
      <c r="M68" s="316">
        <f>IF($J$7="CAJA TERMINADA",TablaOpTelas[[#This Row],[ALTO]]+0.013,TablaOpTelas[[#This Row],[ALTO]]+0.023)</f>
        <v>1.2999999999999999E-2</v>
      </c>
      <c r="N68" s="433">
        <f>'Nota de venta'!L69</f>
        <v>0</v>
      </c>
      <c r="O68" s="417"/>
      <c r="P68" s="417"/>
      <c r="Q68" s="417"/>
      <c r="R68" s="417"/>
      <c r="S68" s="417"/>
      <c r="T68" s="417"/>
      <c r="U68" s="417"/>
      <c r="V68" s="417"/>
      <c r="W68" s="417"/>
      <c r="X68" s="417"/>
      <c r="Y68" s="417"/>
      <c r="Z68" s="417"/>
      <c r="AA68" s="417"/>
      <c r="AB68" s="417"/>
      <c r="AC68" s="417"/>
      <c r="AD68" s="417"/>
      <c r="AE68" s="417"/>
      <c r="AF68" s="417"/>
    </row>
    <row r="69" spans="1:32" s="119" customFormat="1" ht="48" customHeight="1">
      <c r="A69" s="417">
        <v>61</v>
      </c>
      <c r="B69" s="310">
        <f>'Nota de venta'!C70</f>
        <v>0</v>
      </c>
      <c r="C69" s="311">
        <f>'Nota de venta'!G70</f>
        <v>0</v>
      </c>
      <c r="D69" s="320">
        <f>'Nota de venta'!E70</f>
        <v>0</v>
      </c>
      <c r="E69" s="320">
        <f>'Nota de venta'!F70</f>
        <v>0</v>
      </c>
      <c r="F69" s="321">
        <v>1.5</v>
      </c>
      <c r="G69" s="312">
        <f>TablaOpTelas[[#This Row],[ANCHO]]+(TablaOpTelas[[#This Row],[exc cms x lado]]/100)*2</f>
        <v>0.03</v>
      </c>
      <c r="H69" s="312">
        <f>TablaOpTelas[[#This Row],[ALTO]]+(TablaOpTelas[[#This Row],[exc cms x lado]]/100)*2</f>
        <v>0.03</v>
      </c>
      <c r="I69" s="312">
        <f>TablaOpTelas[[#This Row],[ancho final]]*TablaOpTelas[[#This Row],[alto final]]</f>
        <v>8.9999999999999998E-4</v>
      </c>
      <c r="J69" s="312">
        <f>TablaOpTelas[[#This Row],[m2 unit]]*TablaOpTelas[[#This Row],['#]]</f>
        <v>0</v>
      </c>
      <c r="K69" s="314">
        <f>TablaOpTelas[[#This Row],[ANCHO]]*TablaOpTelas[[#This Row],[ALTO]]*$J$6</f>
        <v>0</v>
      </c>
      <c r="L69" s="315">
        <f>IF($J$7="CAJA TERMINADA",TablaOpTelas[[#This Row],[ANCHO]]+0.013,TablaOpTelas[[#This Row],[ANCHO]]+0.023)</f>
        <v>1.2999999999999999E-2</v>
      </c>
      <c r="M69" s="316">
        <f>IF($J$7="CAJA TERMINADA",TablaOpTelas[[#This Row],[ALTO]]+0.013,TablaOpTelas[[#This Row],[ALTO]]+0.023)</f>
        <v>1.2999999999999999E-2</v>
      </c>
      <c r="N69" s="433">
        <f>'Nota de venta'!L70</f>
        <v>0</v>
      </c>
      <c r="O69" s="417"/>
      <c r="P69" s="417"/>
      <c r="Q69" s="417"/>
      <c r="R69" s="417"/>
      <c r="S69" s="417"/>
      <c r="T69" s="417"/>
      <c r="U69" s="417"/>
      <c r="V69" s="417"/>
      <c r="W69" s="417"/>
      <c r="X69" s="417"/>
      <c r="Y69" s="417"/>
      <c r="Z69" s="417"/>
      <c r="AA69" s="417"/>
      <c r="AB69" s="417"/>
      <c r="AC69" s="417"/>
      <c r="AD69" s="417"/>
      <c r="AE69" s="417"/>
      <c r="AF69" s="417"/>
    </row>
    <row r="70" spans="1:32" s="119" customFormat="1" ht="48" customHeight="1">
      <c r="A70" s="417">
        <v>62</v>
      </c>
      <c r="B70" s="310">
        <f>'Nota de venta'!C71</f>
        <v>0</v>
      </c>
      <c r="C70" s="311">
        <f>'Nota de venta'!G71</f>
        <v>0</v>
      </c>
      <c r="D70" s="320">
        <f>'Nota de venta'!E71</f>
        <v>0</v>
      </c>
      <c r="E70" s="320">
        <f>'Nota de venta'!F71</f>
        <v>0</v>
      </c>
      <c r="F70" s="321">
        <v>1.5</v>
      </c>
      <c r="G70" s="312">
        <f>TablaOpTelas[[#This Row],[ANCHO]]+(TablaOpTelas[[#This Row],[exc cms x lado]]/100)*2</f>
        <v>0.03</v>
      </c>
      <c r="H70" s="312">
        <f>TablaOpTelas[[#This Row],[ALTO]]+(TablaOpTelas[[#This Row],[exc cms x lado]]/100)*2</f>
        <v>0.03</v>
      </c>
      <c r="I70" s="312">
        <f>TablaOpTelas[[#This Row],[ancho final]]*TablaOpTelas[[#This Row],[alto final]]</f>
        <v>8.9999999999999998E-4</v>
      </c>
      <c r="J70" s="312">
        <f>TablaOpTelas[[#This Row],[m2 unit]]*TablaOpTelas[[#This Row],['#]]</f>
        <v>0</v>
      </c>
      <c r="K70" s="314">
        <f>TablaOpTelas[[#This Row],[ANCHO]]*TablaOpTelas[[#This Row],[ALTO]]*$J$6</f>
        <v>0</v>
      </c>
      <c r="L70" s="315">
        <f>IF($J$7="CAJA TERMINADA",TablaOpTelas[[#This Row],[ANCHO]]+0.013,TablaOpTelas[[#This Row],[ANCHO]]+0.023)</f>
        <v>1.2999999999999999E-2</v>
      </c>
      <c r="M70" s="316">
        <f>IF($J$7="CAJA TERMINADA",TablaOpTelas[[#This Row],[ALTO]]+0.013,TablaOpTelas[[#This Row],[ALTO]]+0.023)</f>
        <v>1.2999999999999999E-2</v>
      </c>
      <c r="N70" s="433">
        <f>'Nota de venta'!L71</f>
        <v>0</v>
      </c>
      <c r="O70" s="417"/>
      <c r="P70" s="417"/>
      <c r="Q70" s="417"/>
      <c r="R70" s="417"/>
      <c r="S70" s="417"/>
      <c r="T70" s="417"/>
      <c r="U70" s="417"/>
      <c r="V70" s="417"/>
      <c r="W70" s="417"/>
      <c r="X70" s="417"/>
      <c r="Y70" s="417"/>
      <c r="Z70" s="417"/>
      <c r="AA70" s="417"/>
      <c r="AB70" s="417"/>
      <c r="AC70" s="417"/>
      <c r="AD70" s="417"/>
      <c r="AE70" s="417"/>
      <c r="AF70" s="417"/>
    </row>
    <row r="71" spans="1:32" s="119" customFormat="1" ht="48" customHeight="1">
      <c r="A71" s="417">
        <v>63</v>
      </c>
      <c r="B71" s="310">
        <f>'Nota de venta'!C72</f>
        <v>0</v>
      </c>
      <c r="C71" s="311">
        <f>'Nota de venta'!G72</f>
        <v>0</v>
      </c>
      <c r="D71" s="320">
        <f>'Nota de venta'!E72</f>
        <v>0</v>
      </c>
      <c r="E71" s="320">
        <f>'Nota de venta'!F72</f>
        <v>0</v>
      </c>
      <c r="F71" s="321">
        <v>1.5</v>
      </c>
      <c r="G71" s="312">
        <f>TablaOpTelas[[#This Row],[ANCHO]]+(TablaOpTelas[[#This Row],[exc cms x lado]]/100)*2</f>
        <v>0.03</v>
      </c>
      <c r="H71" s="312">
        <f>TablaOpTelas[[#This Row],[ALTO]]+(TablaOpTelas[[#This Row],[exc cms x lado]]/100)*2</f>
        <v>0.03</v>
      </c>
      <c r="I71" s="312">
        <f>TablaOpTelas[[#This Row],[ancho final]]*TablaOpTelas[[#This Row],[alto final]]</f>
        <v>8.9999999999999998E-4</v>
      </c>
      <c r="J71" s="312">
        <f>TablaOpTelas[[#This Row],[m2 unit]]*TablaOpTelas[[#This Row],['#]]</f>
        <v>0</v>
      </c>
      <c r="K71" s="314">
        <f>TablaOpTelas[[#This Row],[ANCHO]]*TablaOpTelas[[#This Row],[ALTO]]*$J$6</f>
        <v>0</v>
      </c>
      <c r="L71" s="315">
        <f>IF($J$7="CAJA TERMINADA",TablaOpTelas[[#This Row],[ANCHO]]+0.013,TablaOpTelas[[#This Row],[ANCHO]]+0.023)</f>
        <v>1.2999999999999999E-2</v>
      </c>
      <c r="M71" s="316">
        <f>IF($J$7="CAJA TERMINADA",TablaOpTelas[[#This Row],[ALTO]]+0.013,TablaOpTelas[[#This Row],[ALTO]]+0.023)</f>
        <v>1.2999999999999999E-2</v>
      </c>
      <c r="N71" s="433">
        <f>'Nota de venta'!L72</f>
        <v>0</v>
      </c>
      <c r="O71" s="417"/>
      <c r="P71" s="417"/>
      <c r="Q71" s="417"/>
      <c r="R71" s="417"/>
      <c r="S71" s="417"/>
      <c r="T71" s="417"/>
      <c r="U71" s="417"/>
      <c r="V71" s="417"/>
      <c r="W71" s="417"/>
      <c r="X71" s="417"/>
      <c r="Y71" s="417"/>
      <c r="Z71" s="417"/>
      <c r="AA71" s="417"/>
      <c r="AB71" s="417"/>
      <c r="AC71" s="417"/>
      <c r="AD71" s="417"/>
      <c r="AE71" s="417"/>
      <c r="AF71" s="417"/>
    </row>
    <row r="72" spans="1:32" s="119" customFormat="1" ht="48" customHeight="1">
      <c r="A72" s="417">
        <v>64</v>
      </c>
      <c r="B72" s="310">
        <f>'Nota de venta'!C73</f>
        <v>0</v>
      </c>
      <c r="C72" s="311">
        <f>'Nota de venta'!G73</f>
        <v>0</v>
      </c>
      <c r="D72" s="320">
        <f>'Nota de venta'!E73</f>
        <v>0</v>
      </c>
      <c r="E72" s="320">
        <f>'Nota de venta'!F73</f>
        <v>0</v>
      </c>
      <c r="F72" s="321">
        <v>1.5</v>
      </c>
      <c r="G72" s="312">
        <f>TablaOpTelas[[#This Row],[ANCHO]]+(TablaOpTelas[[#This Row],[exc cms x lado]]/100)*2</f>
        <v>0.03</v>
      </c>
      <c r="H72" s="312">
        <f>TablaOpTelas[[#This Row],[ALTO]]+(TablaOpTelas[[#This Row],[exc cms x lado]]/100)*2</f>
        <v>0.03</v>
      </c>
      <c r="I72" s="312">
        <f>TablaOpTelas[[#This Row],[ancho final]]*TablaOpTelas[[#This Row],[alto final]]</f>
        <v>8.9999999999999998E-4</v>
      </c>
      <c r="J72" s="312">
        <f>TablaOpTelas[[#This Row],[m2 unit]]*TablaOpTelas[[#This Row],['#]]</f>
        <v>0</v>
      </c>
      <c r="K72" s="314">
        <f>TablaOpTelas[[#This Row],[ANCHO]]*TablaOpTelas[[#This Row],[ALTO]]*$J$6</f>
        <v>0</v>
      </c>
      <c r="L72" s="315">
        <f>IF($J$7="CAJA TERMINADA",TablaOpTelas[[#This Row],[ANCHO]]+0.013,TablaOpTelas[[#This Row],[ANCHO]]+0.023)</f>
        <v>1.2999999999999999E-2</v>
      </c>
      <c r="M72" s="316">
        <f>IF($J$7="CAJA TERMINADA",TablaOpTelas[[#This Row],[ALTO]]+0.013,TablaOpTelas[[#This Row],[ALTO]]+0.023)</f>
        <v>1.2999999999999999E-2</v>
      </c>
      <c r="N72" s="433">
        <f>'Nota de venta'!L73</f>
        <v>0</v>
      </c>
      <c r="O72" s="417"/>
      <c r="P72" s="417"/>
      <c r="Q72" s="417"/>
      <c r="R72" s="417"/>
      <c r="S72" s="417"/>
      <c r="T72" s="417"/>
      <c r="U72" s="417"/>
      <c r="V72" s="417"/>
      <c r="W72" s="417"/>
      <c r="X72" s="417"/>
      <c r="Y72" s="417"/>
      <c r="Z72" s="417"/>
      <c r="AA72" s="417"/>
      <c r="AB72" s="417"/>
      <c r="AC72" s="417"/>
      <c r="AD72" s="417"/>
      <c r="AE72" s="417"/>
      <c r="AF72" s="417"/>
    </row>
    <row r="73" spans="1:32" s="119" customFormat="1" ht="48" customHeight="1">
      <c r="A73" s="417">
        <v>65</v>
      </c>
      <c r="B73" s="310">
        <f>'Nota de venta'!C74</f>
        <v>0</v>
      </c>
      <c r="C73" s="311">
        <f>'Nota de venta'!G74</f>
        <v>0</v>
      </c>
      <c r="D73" s="320">
        <f>'Nota de venta'!E74</f>
        <v>0</v>
      </c>
      <c r="E73" s="320">
        <f>'Nota de venta'!F74</f>
        <v>0</v>
      </c>
      <c r="F73" s="321">
        <v>1.5</v>
      </c>
      <c r="G73" s="312">
        <f>TablaOpTelas[[#This Row],[ANCHO]]+(TablaOpTelas[[#This Row],[exc cms x lado]]/100)*2</f>
        <v>0.03</v>
      </c>
      <c r="H73" s="312">
        <f>TablaOpTelas[[#This Row],[ALTO]]+(TablaOpTelas[[#This Row],[exc cms x lado]]/100)*2</f>
        <v>0.03</v>
      </c>
      <c r="I73" s="312">
        <f>TablaOpTelas[[#This Row],[ancho final]]*TablaOpTelas[[#This Row],[alto final]]</f>
        <v>8.9999999999999998E-4</v>
      </c>
      <c r="J73" s="312">
        <f>TablaOpTelas[[#This Row],[m2 unit]]*TablaOpTelas[[#This Row],['#]]</f>
        <v>0</v>
      </c>
      <c r="K73" s="314">
        <f>TablaOpTelas[[#This Row],[ANCHO]]*TablaOpTelas[[#This Row],[ALTO]]*$J$6</f>
        <v>0</v>
      </c>
      <c r="L73" s="315">
        <f>IF($J$7="CAJA TERMINADA",TablaOpTelas[[#This Row],[ANCHO]]+0.013,TablaOpTelas[[#This Row],[ANCHO]]+0.023)</f>
        <v>1.2999999999999999E-2</v>
      </c>
      <c r="M73" s="316">
        <f>IF($J$7="CAJA TERMINADA",TablaOpTelas[[#This Row],[ALTO]]+0.013,TablaOpTelas[[#This Row],[ALTO]]+0.023)</f>
        <v>1.2999999999999999E-2</v>
      </c>
      <c r="N73" s="433">
        <f>'Nota de venta'!L74</f>
        <v>0</v>
      </c>
      <c r="O73" s="417"/>
      <c r="P73" s="417"/>
      <c r="Q73" s="417"/>
      <c r="R73" s="417"/>
      <c r="S73" s="417"/>
      <c r="T73" s="417"/>
      <c r="U73" s="417"/>
      <c r="V73" s="417"/>
      <c r="W73" s="417"/>
      <c r="X73" s="417"/>
      <c r="Y73" s="417"/>
      <c r="Z73" s="417"/>
      <c r="AA73" s="417"/>
      <c r="AB73" s="417"/>
      <c r="AC73" s="417"/>
      <c r="AD73" s="417"/>
      <c r="AE73" s="417"/>
      <c r="AF73" s="417"/>
    </row>
    <row r="74" spans="1:32" s="119" customFormat="1" ht="48" customHeight="1">
      <c r="A74" s="417">
        <v>66</v>
      </c>
      <c r="B74" s="310">
        <f>'Nota de venta'!C75</f>
        <v>0</v>
      </c>
      <c r="C74" s="311">
        <f>'Nota de venta'!G75</f>
        <v>0</v>
      </c>
      <c r="D74" s="320">
        <f>'Nota de venta'!E75</f>
        <v>0</v>
      </c>
      <c r="E74" s="320">
        <f>'Nota de venta'!F75</f>
        <v>0</v>
      </c>
      <c r="F74" s="321">
        <v>1.5</v>
      </c>
      <c r="G74" s="312">
        <f>TablaOpTelas[[#This Row],[ANCHO]]+(TablaOpTelas[[#This Row],[exc cms x lado]]/100)*2</f>
        <v>0.03</v>
      </c>
      <c r="H74" s="312">
        <f>TablaOpTelas[[#This Row],[ALTO]]+(TablaOpTelas[[#This Row],[exc cms x lado]]/100)*2</f>
        <v>0.03</v>
      </c>
      <c r="I74" s="312">
        <f>TablaOpTelas[[#This Row],[ancho final]]*TablaOpTelas[[#This Row],[alto final]]</f>
        <v>8.9999999999999998E-4</v>
      </c>
      <c r="J74" s="312">
        <f>TablaOpTelas[[#This Row],[m2 unit]]*TablaOpTelas[[#This Row],['#]]</f>
        <v>0</v>
      </c>
      <c r="K74" s="314">
        <f>TablaOpTelas[[#This Row],[ANCHO]]*TablaOpTelas[[#This Row],[ALTO]]*$J$6</f>
        <v>0</v>
      </c>
      <c r="L74" s="315">
        <f>IF($J$7="CAJA TERMINADA",TablaOpTelas[[#This Row],[ANCHO]]+0.013,TablaOpTelas[[#This Row],[ANCHO]]+0.023)</f>
        <v>1.2999999999999999E-2</v>
      </c>
      <c r="M74" s="316">
        <f>IF($J$7="CAJA TERMINADA",TablaOpTelas[[#This Row],[ALTO]]+0.013,TablaOpTelas[[#This Row],[ALTO]]+0.023)</f>
        <v>1.2999999999999999E-2</v>
      </c>
      <c r="N74" s="433">
        <f>'Nota de venta'!L75</f>
        <v>0</v>
      </c>
      <c r="O74" s="417"/>
      <c r="P74" s="417"/>
      <c r="Q74" s="417"/>
      <c r="R74" s="417"/>
      <c r="S74" s="417"/>
      <c r="T74" s="417"/>
      <c r="U74" s="417"/>
      <c r="V74" s="417"/>
      <c r="W74" s="417"/>
      <c r="X74" s="417"/>
      <c r="Y74" s="417"/>
      <c r="Z74" s="417"/>
      <c r="AA74" s="417"/>
      <c r="AB74" s="417"/>
      <c r="AC74" s="417"/>
      <c r="AD74" s="417"/>
      <c r="AE74" s="417"/>
      <c r="AF74" s="417"/>
    </row>
    <row r="75" spans="1:32" s="119" customFormat="1" ht="48" customHeight="1">
      <c r="A75" s="417">
        <v>67</v>
      </c>
      <c r="B75" s="310">
        <f>'Nota de venta'!C76</f>
        <v>0</v>
      </c>
      <c r="C75" s="311">
        <f>'Nota de venta'!G76</f>
        <v>0</v>
      </c>
      <c r="D75" s="320">
        <f>'Nota de venta'!E76</f>
        <v>0</v>
      </c>
      <c r="E75" s="320">
        <f>'Nota de venta'!F76</f>
        <v>0</v>
      </c>
      <c r="F75" s="321">
        <v>1.5</v>
      </c>
      <c r="G75" s="312">
        <f>TablaOpTelas[[#This Row],[ANCHO]]+(TablaOpTelas[[#This Row],[exc cms x lado]]/100)*2</f>
        <v>0.03</v>
      </c>
      <c r="H75" s="312">
        <f>TablaOpTelas[[#This Row],[ALTO]]+(TablaOpTelas[[#This Row],[exc cms x lado]]/100)*2</f>
        <v>0.03</v>
      </c>
      <c r="I75" s="312">
        <f>TablaOpTelas[[#This Row],[ancho final]]*TablaOpTelas[[#This Row],[alto final]]</f>
        <v>8.9999999999999998E-4</v>
      </c>
      <c r="J75" s="312">
        <f>TablaOpTelas[[#This Row],[m2 unit]]*TablaOpTelas[[#This Row],['#]]</f>
        <v>0</v>
      </c>
      <c r="K75" s="314">
        <f>TablaOpTelas[[#This Row],[ANCHO]]*TablaOpTelas[[#This Row],[ALTO]]*$J$6</f>
        <v>0</v>
      </c>
      <c r="L75" s="315">
        <f>IF($J$7="CAJA TERMINADA",TablaOpTelas[[#This Row],[ANCHO]]+0.013,TablaOpTelas[[#This Row],[ANCHO]]+0.023)</f>
        <v>1.2999999999999999E-2</v>
      </c>
      <c r="M75" s="316">
        <f>IF($J$7="CAJA TERMINADA",TablaOpTelas[[#This Row],[ALTO]]+0.013,TablaOpTelas[[#This Row],[ALTO]]+0.023)</f>
        <v>1.2999999999999999E-2</v>
      </c>
      <c r="N75" s="433">
        <f>'Nota de venta'!L76</f>
        <v>0</v>
      </c>
      <c r="O75" s="417"/>
      <c r="P75" s="417"/>
      <c r="Q75" s="417"/>
      <c r="R75" s="417"/>
      <c r="S75" s="417"/>
      <c r="T75" s="417"/>
      <c r="U75" s="417"/>
      <c r="V75" s="417"/>
      <c r="W75" s="417"/>
      <c r="X75" s="417"/>
      <c r="Y75" s="417"/>
      <c r="Z75" s="417"/>
      <c r="AA75" s="417"/>
      <c r="AB75" s="417"/>
      <c r="AC75" s="417"/>
      <c r="AD75" s="417"/>
      <c r="AE75" s="417"/>
      <c r="AF75" s="417"/>
    </row>
    <row r="76" spans="1:32" s="119" customFormat="1" ht="48" customHeight="1">
      <c r="A76" s="417">
        <v>68</v>
      </c>
      <c r="B76" s="310">
        <f>'Nota de venta'!C77</f>
        <v>0</v>
      </c>
      <c r="C76" s="311">
        <f>'Nota de venta'!G77</f>
        <v>0</v>
      </c>
      <c r="D76" s="320">
        <f>'Nota de venta'!E77</f>
        <v>0</v>
      </c>
      <c r="E76" s="320">
        <f>'Nota de venta'!F77</f>
        <v>0</v>
      </c>
      <c r="F76" s="321">
        <v>1.5</v>
      </c>
      <c r="G76" s="312">
        <f>TablaOpTelas[[#This Row],[ANCHO]]+(TablaOpTelas[[#This Row],[exc cms x lado]]/100)*2</f>
        <v>0.03</v>
      </c>
      <c r="H76" s="312">
        <f>TablaOpTelas[[#This Row],[ALTO]]+(TablaOpTelas[[#This Row],[exc cms x lado]]/100)*2</f>
        <v>0.03</v>
      </c>
      <c r="I76" s="312">
        <f>TablaOpTelas[[#This Row],[ancho final]]*TablaOpTelas[[#This Row],[alto final]]</f>
        <v>8.9999999999999998E-4</v>
      </c>
      <c r="J76" s="312">
        <f>TablaOpTelas[[#This Row],[m2 unit]]*TablaOpTelas[[#This Row],['#]]</f>
        <v>0</v>
      </c>
      <c r="K76" s="314">
        <f>TablaOpTelas[[#This Row],[ANCHO]]*TablaOpTelas[[#This Row],[ALTO]]*$J$6</f>
        <v>0</v>
      </c>
      <c r="L76" s="315">
        <f>IF($J$7="CAJA TERMINADA",TablaOpTelas[[#This Row],[ANCHO]]+0.013,TablaOpTelas[[#This Row],[ANCHO]]+0.023)</f>
        <v>1.2999999999999999E-2</v>
      </c>
      <c r="M76" s="316">
        <f>IF($J$7="CAJA TERMINADA",TablaOpTelas[[#This Row],[ALTO]]+0.013,TablaOpTelas[[#This Row],[ALTO]]+0.023)</f>
        <v>1.2999999999999999E-2</v>
      </c>
      <c r="N76" s="433">
        <f>'Nota de venta'!L77</f>
        <v>0</v>
      </c>
      <c r="O76" s="417"/>
      <c r="P76" s="417"/>
      <c r="Q76" s="417"/>
      <c r="R76" s="417"/>
      <c r="S76" s="417"/>
      <c r="T76" s="417"/>
      <c r="U76" s="417"/>
      <c r="V76" s="417"/>
      <c r="W76" s="417"/>
      <c r="X76" s="417"/>
      <c r="Y76" s="417"/>
      <c r="Z76" s="417"/>
      <c r="AA76" s="417"/>
      <c r="AB76" s="417"/>
      <c r="AC76" s="417"/>
      <c r="AD76" s="417"/>
      <c r="AE76" s="417"/>
      <c r="AF76" s="417"/>
    </row>
    <row r="77" spans="1:32" s="119" customFormat="1" ht="48" customHeight="1">
      <c r="A77" s="417">
        <v>69</v>
      </c>
      <c r="B77" s="310">
        <f>'Nota de venta'!C78</f>
        <v>0</v>
      </c>
      <c r="C77" s="311">
        <f>'Nota de venta'!G78</f>
        <v>0</v>
      </c>
      <c r="D77" s="320">
        <f>'Nota de venta'!E78</f>
        <v>0</v>
      </c>
      <c r="E77" s="320">
        <f>'Nota de venta'!F78</f>
        <v>0</v>
      </c>
      <c r="F77" s="321">
        <v>1.5</v>
      </c>
      <c r="G77" s="312">
        <f>TablaOpTelas[[#This Row],[ANCHO]]+(TablaOpTelas[[#This Row],[exc cms x lado]]/100)*2</f>
        <v>0.03</v>
      </c>
      <c r="H77" s="312">
        <f>TablaOpTelas[[#This Row],[ALTO]]+(TablaOpTelas[[#This Row],[exc cms x lado]]/100)*2</f>
        <v>0.03</v>
      </c>
      <c r="I77" s="312">
        <f>TablaOpTelas[[#This Row],[ancho final]]*TablaOpTelas[[#This Row],[alto final]]</f>
        <v>8.9999999999999998E-4</v>
      </c>
      <c r="J77" s="312">
        <f>TablaOpTelas[[#This Row],[m2 unit]]*TablaOpTelas[[#This Row],['#]]</f>
        <v>0</v>
      </c>
      <c r="K77" s="314">
        <f>TablaOpTelas[[#This Row],[ANCHO]]*TablaOpTelas[[#This Row],[ALTO]]*$J$6</f>
        <v>0</v>
      </c>
      <c r="L77" s="315">
        <f>IF($J$7="CAJA TERMINADA",TablaOpTelas[[#This Row],[ANCHO]]+0.013,TablaOpTelas[[#This Row],[ANCHO]]+0.023)</f>
        <v>1.2999999999999999E-2</v>
      </c>
      <c r="M77" s="316">
        <f>IF($J$7="CAJA TERMINADA",TablaOpTelas[[#This Row],[ALTO]]+0.013,TablaOpTelas[[#This Row],[ALTO]]+0.023)</f>
        <v>1.2999999999999999E-2</v>
      </c>
      <c r="N77" s="433">
        <f>'Nota de venta'!L78</f>
        <v>0</v>
      </c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</row>
    <row r="78" spans="1:32" s="119" customFormat="1" ht="48" customHeight="1">
      <c r="A78" s="417">
        <v>70</v>
      </c>
      <c r="B78" s="310">
        <f>'Nota de venta'!C79</f>
        <v>0</v>
      </c>
      <c r="C78" s="311">
        <f>'Nota de venta'!G79</f>
        <v>0</v>
      </c>
      <c r="D78" s="320">
        <f>'Nota de venta'!E79</f>
        <v>0</v>
      </c>
      <c r="E78" s="320">
        <f>'Nota de venta'!F79</f>
        <v>0</v>
      </c>
      <c r="F78" s="321">
        <v>1.5</v>
      </c>
      <c r="G78" s="312">
        <f>TablaOpTelas[[#This Row],[ANCHO]]+(TablaOpTelas[[#This Row],[exc cms x lado]]/100)*2</f>
        <v>0.03</v>
      </c>
      <c r="H78" s="312">
        <f>TablaOpTelas[[#This Row],[ALTO]]+(TablaOpTelas[[#This Row],[exc cms x lado]]/100)*2</f>
        <v>0.03</v>
      </c>
      <c r="I78" s="312">
        <f>TablaOpTelas[[#This Row],[ancho final]]*TablaOpTelas[[#This Row],[alto final]]</f>
        <v>8.9999999999999998E-4</v>
      </c>
      <c r="J78" s="312">
        <f>TablaOpTelas[[#This Row],[m2 unit]]*TablaOpTelas[[#This Row],['#]]</f>
        <v>0</v>
      </c>
      <c r="K78" s="314">
        <f>TablaOpTelas[[#This Row],[ANCHO]]*TablaOpTelas[[#This Row],[ALTO]]*$J$6</f>
        <v>0</v>
      </c>
      <c r="L78" s="315">
        <f>IF($J$7="CAJA TERMINADA",TablaOpTelas[[#This Row],[ANCHO]]+0.013,TablaOpTelas[[#This Row],[ANCHO]]+0.023)</f>
        <v>1.2999999999999999E-2</v>
      </c>
      <c r="M78" s="316">
        <f>IF($J$7="CAJA TERMINADA",TablaOpTelas[[#This Row],[ALTO]]+0.013,TablaOpTelas[[#This Row],[ALTO]]+0.023)</f>
        <v>1.2999999999999999E-2</v>
      </c>
      <c r="N78" s="433">
        <f>'Nota de venta'!L79</f>
        <v>0</v>
      </c>
      <c r="O78" s="417"/>
      <c r="P78" s="417"/>
      <c r="Q78" s="417"/>
      <c r="R78" s="417"/>
      <c r="S78" s="417"/>
      <c r="T78" s="417"/>
      <c r="U78" s="417"/>
      <c r="V78" s="417"/>
      <c r="W78" s="417"/>
      <c r="X78" s="417"/>
      <c r="Y78" s="417"/>
      <c r="Z78" s="417"/>
      <c r="AA78" s="417"/>
      <c r="AB78" s="417"/>
      <c r="AC78" s="417"/>
      <c r="AD78" s="417"/>
      <c r="AE78" s="417"/>
      <c r="AF78" s="417"/>
    </row>
    <row r="79" spans="1:32" s="119" customFormat="1" ht="48" customHeight="1">
      <c r="A79" s="417">
        <v>71</v>
      </c>
      <c r="B79" s="310">
        <f>'Nota de venta'!C80</f>
        <v>0</v>
      </c>
      <c r="C79" s="311">
        <f>'Nota de venta'!G80</f>
        <v>0</v>
      </c>
      <c r="D79" s="320">
        <f>'Nota de venta'!E80</f>
        <v>0</v>
      </c>
      <c r="E79" s="320">
        <f>'Nota de venta'!F80</f>
        <v>0</v>
      </c>
      <c r="F79" s="321">
        <v>1.5</v>
      </c>
      <c r="G79" s="312">
        <f>TablaOpTelas[[#This Row],[ANCHO]]+(TablaOpTelas[[#This Row],[exc cms x lado]]/100)*2</f>
        <v>0.03</v>
      </c>
      <c r="H79" s="312">
        <f>TablaOpTelas[[#This Row],[ALTO]]+(TablaOpTelas[[#This Row],[exc cms x lado]]/100)*2</f>
        <v>0.03</v>
      </c>
      <c r="I79" s="312">
        <f>TablaOpTelas[[#This Row],[ancho final]]*TablaOpTelas[[#This Row],[alto final]]</f>
        <v>8.9999999999999998E-4</v>
      </c>
      <c r="J79" s="312">
        <f>TablaOpTelas[[#This Row],[m2 unit]]*TablaOpTelas[[#This Row],['#]]</f>
        <v>0</v>
      </c>
      <c r="K79" s="314">
        <f>TablaOpTelas[[#This Row],[ANCHO]]*TablaOpTelas[[#This Row],[ALTO]]*$J$6</f>
        <v>0</v>
      </c>
      <c r="L79" s="315">
        <f>IF($J$7="CAJA TERMINADA",TablaOpTelas[[#This Row],[ANCHO]]+0.013,TablaOpTelas[[#This Row],[ANCHO]]+0.023)</f>
        <v>1.2999999999999999E-2</v>
      </c>
      <c r="M79" s="316">
        <f>IF($J$7="CAJA TERMINADA",TablaOpTelas[[#This Row],[ALTO]]+0.013,TablaOpTelas[[#This Row],[ALTO]]+0.023)</f>
        <v>1.2999999999999999E-2</v>
      </c>
      <c r="N79" s="433">
        <f>'Nota de venta'!L80</f>
        <v>0</v>
      </c>
      <c r="O79" s="417"/>
      <c r="P79" s="417"/>
      <c r="Q79" s="417"/>
      <c r="R79" s="417"/>
      <c r="S79" s="417"/>
      <c r="T79" s="417"/>
      <c r="U79" s="417"/>
      <c r="V79" s="417"/>
      <c r="W79" s="417"/>
      <c r="X79" s="417"/>
      <c r="Y79" s="417"/>
      <c r="Z79" s="417"/>
      <c r="AA79" s="417"/>
      <c r="AB79" s="417"/>
      <c r="AC79" s="417"/>
      <c r="AD79" s="417"/>
      <c r="AE79" s="417"/>
      <c r="AF79" s="417"/>
    </row>
    <row r="80" spans="1:32" s="119" customFormat="1" ht="48" customHeight="1">
      <c r="A80" s="417">
        <v>72</v>
      </c>
      <c r="B80" s="310">
        <f>'Nota de venta'!C81</f>
        <v>0</v>
      </c>
      <c r="C80" s="311">
        <f>'Nota de venta'!G81</f>
        <v>0</v>
      </c>
      <c r="D80" s="320">
        <f>'Nota de venta'!E81</f>
        <v>0</v>
      </c>
      <c r="E80" s="320">
        <f>'Nota de venta'!F81</f>
        <v>0</v>
      </c>
      <c r="F80" s="321">
        <v>1.5</v>
      </c>
      <c r="G80" s="312">
        <f>TablaOpTelas[[#This Row],[ANCHO]]+(TablaOpTelas[[#This Row],[exc cms x lado]]/100)*2</f>
        <v>0.03</v>
      </c>
      <c r="H80" s="312">
        <f>TablaOpTelas[[#This Row],[ALTO]]+(TablaOpTelas[[#This Row],[exc cms x lado]]/100)*2</f>
        <v>0.03</v>
      </c>
      <c r="I80" s="312">
        <f>TablaOpTelas[[#This Row],[ancho final]]*TablaOpTelas[[#This Row],[alto final]]</f>
        <v>8.9999999999999998E-4</v>
      </c>
      <c r="J80" s="312">
        <f>TablaOpTelas[[#This Row],[m2 unit]]*TablaOpTelas[[#This Row],['#]]</f>
        <v>0</v>
      </c>
      <c r="K80" s="314">
        <f>TablaOpTelas[[#This Row],[ANCHO]]*TablaOpTelas[[#This Row],[ALTO]]*$J$6</f>
        <v>0</v>
      </c>
      <c r="L80" s="315">
        <f>IF($J$7="CAJA TERMINADA",TablaOpTelas[[#This Row],[ANCHO]]+0.013,TablaOpTelas[[#This Row],[ANCHO]]+0.023)</f>
        <v>1.2999999999999999E-2</v>
      </c>
      <c r="M80" s="316">
        <f>IF($J$7="CAJA TERMINADA",TablaOpTelas[[#This Row],[ALTO]]+0.013,TablaOpTelas[[#This Row],[ALTO]]+0.023)</f>
        <v>1.2999999999999999E-2</v>
      </c>
      <c r="N80" s="433">
        <f>'Nota de venta'!L81</f>
        <v>0</v>
      </c>
      <c r="O80" s="417"/>
      <c r="P80" s="417"/>
      <c r="Q80" s="417"/>
      <c r="R80" s="417"/>
      <c r="S80" s="417"/>
      <c r="T80" s="417"/>
      <c r="U80" s="417"/>
      <c r="V80" s="417"/>
      <c r="W80" s="417"/>
      <c r="X80" s="417"/>
      <c r="Y80" s="417"/>
      <c r="Z80" s="417"/>
      <c r="AA80" s="417"/>
      <c r="AB80" s="417"/>
      <c r="AC80" s="417"/>
      <c r="AD80" s="417"/>
      <c r="AE80" s="417"/>
      <c r="AF80" s="417"/>
    </row>
    <row r="81" spans="1:32" s="119" customFormat="1" ht="48" customHeight="1">
      <c r="A81" s="417">
        <v>73</v>
      </c>
      <c r="B81" s="310">
        <f>'Nota de venta'!C82</f>
        <v>0</v>
      </c>
      <c r="C81" s="311">
        <f>'Nota de venta'!G82</f>
        <v>0</v>
      </c>
      <c r="D81" s="320">
        <f>'Nota de venta'!E82</f>
        <v>0</v>
      </c>
      <c r="E81" s="320">
        <f>'Nota de venta'!F82</f>
        <v>0</v>
      </c>
      <c r="F81" s="321">
        <v>1.5</v>
      </c>
      <c r="G81" s="312">
        <f>TablaOpTelas[[#This Row],[ANCHO]]+(TablaOpTelas[[#This Row],[exc cms x lado]]/100)*2</f>
        <v>0.03</v>
      </c>
      <c r="H81" s="312">
        <f>TablaOpTelas[[#This Row],[ALTO]]+(TablaOpTelas[[#This Row],[exc cms x lado]]/100)*2</f>
        <v>0.03</v>
      </c>
      <c r="I81" s="312">
        <f>TablaOpTelas[[#This Row],[ancho final]]*TablaOpTelas[[#This Row],[alto final]]</f>
        <v>8.9999999999999998E-4</v>
      </c>
      <c r="J81" s="312">
        <f>TablaOpTelas[[#This Row],[m2 unit]]*TablaOpTelas[[#This Row],['#]]</f>
        <v>0</v>
      </c>
      <c r="K81" s="314">
        <f>TablaOpTelas[[#This Row],[ANCHO]]*TablaOpTelas[[#This Row],[ALTO]]*$J$6</f>
        <v>0</v>
      </c>
      <c r="L81" s="315">
        <f>IF($J$7="CAJA TERMINADA",TablaOpTelas[[#This Row],[ANCHO]]+0.013,TablaOpTelas[[#This Row],[ANCHO]]+0.023)</f>
        <v>1.2999999999999999E-2</v>
      </c>
      <c r="M81" s="316">
        <f>IF($J$7="CAJA TERMINADA",TablaOpTelas[[#This Row],[ALTO]]+0.013,TablaOpTelas[[#This Row],[ALTO]]+0.023)</f>
        <v>1.2999999999999999E-2</v>
      </c>
      <c r="N81" s="433">
        <f>'Nota de venta'!L82</f>
        <v>0</v>
      </c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</row>
    <row r="82" spans="1:32" s="119" customFormat="1" ht="48" customHeight="1">
      <c r="A82" s="417">
        <v>74</v>
      </c>
      <c r="B82" s="310">
        <f>'Nota de venta'!C83</f>
        <v>0</v>
      </c>
      <c r="C82" s="311">
        <f>'Nota de venta'!G83</f>
        <v>0</v>
      </c>
      <c r="D82" s="320">
        <f>'Nota de venta'!E83</f>
        <v>0</v>
      </c>
      <c r="E82" s="320">
        <f>'Nota de venta'!F83</f>
        <v>0</v>
      </c>
      <c r="F82" s="321">
        <v>1.5</v>
      </c>
      <c r="G82" s="312">
        <f>TablaOpTelas[[#This Row],[ANCHO]]+(TablaOpTelas[[#This Row],[exc cms x lado]]/100)*2</f>
        <v>0.03</v>
      </c>
      <c r="H82" s="312">
        <f>TablaOpTelas[[#This Row],[ALTO]]+(TablaOpTelas[[#This Row],[exc cms x lado]]/100)*2</f>
        <v>0.03</v>
      </c>
      <c r="I82" s="312">
        <f>TablaOpTelas[[#This Row],[ancho final]]*TablaOpTelas[[#This Row],[alto final]]</f>
        <v>8.9999999999999998E-4</v>
      </c>
      <c r="J82" s="312">
        <f>TablaOpTelas[[#This Row],[m2 unit]]*TablaOpTelas[[#This Row],['#]]</f>
        <v>0</v>
      </c>
      <c r="K82" s="314">
        <f>TablaOpTelas[[#This Row],[ANCHO]]*TablaOpTelas[[#This Row],[ALTO]]*$J$6</f>
        <v>0</v>
      </c>
      <c r="L82" s="315">
        <f>IF($J$7="CAJA TERMINADA",TablaOpTelas[[#This Row],[ANCHO]]+0.013,TablaOpTelas[[#This Row],[ANCHO]]+0.023)</f>
        <v>1.2999999999999999E-2</v>
      </c>
      <c r="M82" s="316">
        <f>IF($J$7="CAJA TERMINADA",TablaOpTelas[[#This Row],[ALTO]]+0.013,TablaOpTelas[[#This Row],[ALTO]]+0.023)</f>
        <v>1.2999999999999999E-2</v>
      </c>
      <c r="N82" s="433">
        <f>'Nota de venta'!L83</f>
        <v>0</v>
      </c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</row>
    <row r="83" spans="1:32" s="119" customFormat="1" ht="48" customHeight="1">
      <c r="A83" s="417">
        <v>75</v>
      </c>
      <c r="B83" s="310">
        <f>'Nota de venta'!C84</f>
        <v>0</v>
      </c>
      <c r="C83" s="311">
        <f>'Nota de venta'!G84</f>
        <v>0</v>
      </c>
      <c r="D83" s="320">
        <f>'Nota de venta'!E84</f>
        <v>0</v>
      </c>
      <c r="E83" s="320">
        <f>'Nota de venta'!F84</f>
        <v>0</v>
      </c>
      <c r="F83" s="321">
        <v>1.5</v>
      </c>
      <c r="G83" s="312">
        <f>TablaOpTelas[[#This Row],[ANCHO]]+(TablaOpTelas[[#This Row],[exc cms x lado]]/100)*2</f>
        <v>0.03</v>
      </c>
      <c r="H83" s="312">
        <f>TablaOpTelas[[#This Row],[ALTO]]+(TablaOpTelas[[#This Row],[exc cms x lado]]/100)*2</f>
        <v>0.03</v>
      </c>
      <c r="I83" s="312">
        <f>TablaOpTelas[[#This Row],[ancho final]]*TablaOpTelas[[#This Row],[alto final]]</f>
        <v>8.9999999999999998E-4</v>
      </c>
      <c r="J83" s="312">
        <f>TablaOpTelas[[#This Row],[m2 unit]]*TablaOpTelas[[#This Row],['#]]</f>
        <v>0</v>
      </c>
      <c r="K83" s="314">
        <f>TablaOpTelas[[#This Row],[ANCHO]]*TablaOpTelas[[#This Row],[ALTO]]*$J$6</f>
        <v>0</v>
      </c>
      <c r="L83" s="315">
        <f>IF($J$7="CAJA TERMINADA",TablaOpTelas[[#This Row],[ANCHO]]+0.013,TablaOpTelas[[#This Row],[ANCHO]]+0.023)</f>
        <v>1.2999999999999999E-2</v>
      </c>
      <c r="M83" s="316">
        <f>IF($J$7="CAJA TERMINADA",TablaOpTelas[[#This Row],[ALTO]]+0.013,TablaOpTelas[[#This Row],[ALTO]]+0.023)</f>
        <v>1.2999999999999999E-2</v>
      </c>
      <c r="N83" s="433">
        <f>'Nota de venta'!L84</f>
        <v>0</v>
      </c>
      <c r="O83" s="417"/>
      <c r="P83" s="417"/>
      <c r="Q83" s="417"/>
      <c r="R83" s="417"/>
      <c r="S83" s="417"/>
      <c r="T83" s="417"/>
      <c r="U83" s="417"/>
      <c r="V83" s="417"/>
      <c r="W83" s="417"/>
      <c r="X83" s="417"/>
      <c r="Y83" s="417"/>
      <c r="Z83" s="417"/>
      <c r="AA83" s="417"/>
      <c r="AB83" s="417"/>
      <c r="AC83" s="417"/>
      <c r="AD83" s="417"/>
      <c r="AE83" s="417"/>
      <c r="AF83" s="417"/>
    </row>
    <row r="84" spans="1:32" s="119" customFormat="1" ht="48" customHeight="1">
      <c r="A84" s="417">
        <v>76</v>
      </c>
      <c r="B84" s="310">
        <f>'Nota de venta'!C85</f>
        <v>0</v>
      </c>
      <c r="C84" s="311">
        <f>'Nota de venta'!G85</f>
        <v>0</v>
      </c>
      <c r="D84" s="320">
        <f>'Nota de venta'!E85</f>
        <v>0</v>
      </c>
      <c r="E84" s="320">
        <f>'Nota de venta'!F85</f>
        <v>0</v>
      </c>
      <c r="F84" s="321">
        <v>1.5</v>
      </c>
      <c r="G84" s="312">
        <f>TablaOpTelas[[#This Row],[ANCHO]]+(TablaOpTelas[[#This Row],[exc cms x lado]]/100)*2</f>
        <v>0.03</v>
      </c>
      <c r="H84" s="312">
        <f>TablaOpTelas[[#This Row],[ALTO]]+(TablaOpTelas[[#This Row],[exc cms x lado]]/100)*2</f>
        <v>0.03</v>
      </c>
      <c r="I84" s="312">
        <f>TablaOpTelas[[#This Row],[ancho final]]*TablaOpTelas[[#This Row],[alto final]]</f>
        <v>8.9999999999999998E-4</v>
      </c>
      <c r="J84" s="312">
        <f>TablaOpTelas[[#This Row],[m2 unit]]*TablaOpTelas[[#This Row],['#]]</f>
        <v>0</v>
      </c>
      <c r="K84" s="314">
        <f>TablaOpTelas[[#This Row],[ANCHO]]*TablaOpTelas[[#This Row],[ALTO]]*$J$6</f>
        <v>0</v>
      </c>
      <c r="L84" s="315">
        <f>IF($J$7="CAJA TERMINADA",TablaOpTelas[[#This Row],[ANCHO]]+0.013,TablaOpTelas[[#This Row],[ANCHO]]+0.023)</f>
        <v>1.2999999999999999E-2</v>
      </c>
      <c r="M84" s="316">
        <f>IF($J$7="CAJA TERMINADA",TablaOpTelas[[#This Row],[ALTO]]+0.013,TablaOpTelas[[#This Row],[ALTO]]+0.023)</f>
        <v>1.2999999999999999E-2</v>
      </c>
      <c r="N84" s="433">
        <f>'Nota de venta'!L85</f>
        <v>0</v>
      </c>
      <c r="O84" s="417"/>
      <c r="P84" s="417"/>
      <c r="Q84" s="417"/>
      <c r="R84" s="417"/>
      <c r="S84" s="417"/>
      <c r="T84" s="417"/>
      <c r="U84" s="417"/>
      <c r="V84" s="417"/>
      <c r="W84" s="417"/>
      <c r="X84" s="417"/>
      <c r="Y84" s="417"/>
      <c r="Z84" s="417"/>
      <c r="AA84" s="417"/>
      <c r="AB84" s="417"/>
      <c r="AC84" s="417"/>
      <c r="AD84" s="417"/>
      <c r="AE84" s="417"/>
      <c r="AF84" s="417"/>
    </row>
    <row r="85" spans="1:32" s="119" customFormat="1" ht="48" customHeight="1">
      <c r="A85" s="417">
        <v>77</v>
      </c>
      <c r="B85" s="310">
        <f>'Nota de venta'!C86</f>
        <v>0</v>
      </c>
      <c r="C85" s="311">
        <f>'Nota de venta'!G86</f>
        <v>0</v>
      </c>
      <c r="D85" s="320">
        <f>'Nota de venta'!E86</f>
        <v>0</v>
      </c>
      <c r="E85" s="320">
        <f>'Nota de venta'!F86</f>
        <v>0</v>
      </c>
      <c r="F85" s="321">
        <v>1.5</v>
      </c>
      <c r="G85" s="312">
        <f>TablaOpTelas[[#This Row],[ANCHO]]+(TablaOpTelas[[#This Row],[exc cms x lado]]/100)*2</f>
        <v>0.03</v>
      </c>
      <c r="H85" s="312">
        <f>TablaOpTelas[[#This Row],[ALTO]]+(TablaOpTelas[[#This Row],[exc cms x lado]]/100)*2</f>
        <v>0.03</v>
      </c>
      <c r="I85" s="312">
        <f>TablaOpTelas[[#This Row],[ancho final]]*TablaOpTelas[[#This Row],[alto final]]</f>
        <v>8.9999999999999998E-4</v>
      </c>
      <c r="J85" s="312">
        <f>TablaOpTelas[[#This Row],[m2 unit]]*TablaOpTelas[[#This Row],['#]]</f>
        <v>0</v>
      </c>
      <c r="K85" s="314">
        <f>TablaOpTelas[[#This Row],[ANCHO]]*TablaOpTelas[[#This Row],[ALTO]]*$J$6</f>
        <v>0</v>
      </c>
      <c r="L85" s="315">
        <f>IF($J$7="CAJA TERMINADA",TablaOpTelas[[#This Row],[ANCHO]]+0.013,TablaOpTelas[[#This Row],[ANCHO]]+0.023)</f>
        <v>1.2999999999999999E-2</v>
      </c>
      <c r="M85" s="316">
        <f>IF($J$7="CAJA TERMINADA",TablaOpTelas[[#This Row],[ALTO]]+0.013,TablaOpTelas[[#This Row],[ALTO]]+0.023)</f>
        <v>1.2999999999999999E-2</v>
      </c>
      <c r="N85" s="433">
        <f>'Nota de venta'!L86</f>
        <v>0</v>
      </c>
      <c r="O85" s="417"/>
      <c r="P85" s="417"/>
      <c r="Q85" s="417"/>
      <c r="R85" s="417"/>
      <c r="S85" s="417"/>
      <c r="T85" s="417"/>
      <c r="U85" s="417"/>
      <c r="V85" s="417"/>
      <c r="W85" s="417"/>
      <c r="X85" s="417"/>
      <c r="Y85" s="417"/>
      <c r="Z85" s="417"/>
      <c r="AA85" s="417"/>
      <c r="AB85" s="417"/>
      <c r="AC85" s="417"/>
      <c r="AD85" s="417"/>
      <c r="AE85" s="417"/>
      <c r="AF85" s="417"/>
    </row>
    <row r="86" spans="1:32" s="119" customFormat="1" ht="48" customHeight="1">
      <c r="A86" s="417">
        <v>78</v>
      </c>
      <c r="B86" s="310">
        <f>'Nota de venta'!C87</f>
        <v>0</v>
      </c>
      <c r="C86" s="311">
        <f>'Nota de venta'!G87</f>
        <v>0</v>
      </c>
      <c r="D86" s="320">
        <f>'Nota de venta'!E87</f>
        <v>0</v>
      </c>
      <c r="E86" s="320">
        <f>'Nota de venta'!F87</f>
        <v>0</v>
      </c>
      <c r="F86" s="321">
        <v>1.5</v>
      </c>
      <c r="G86" s="312">
        <f>TablaOpTelas[[#This Row],[ANCHO]]+(TablaOpTelas[[#This Row],[exc cms x lado]]/100)*2</f>
        <v>0.03</v>
      </c>
      <c r="H86" s="312">
        <f>TablaOpTelas[[#This Row],[ALTO]]+(TablaOpTelas[[#This Row],[exc cms x lado]]/100)*2</f>
        <v>0.03</v>
      </c>
      <c r="I86" s="312">
        <f>TablaOpTelas[[#This Row],[ancho final]]*TablaOpTelas[[#This Row],[alto final]]</f>
        <v>8.9999999999999998E-4</v>
      </c>
      <c r="J86" s="312">
        <f>TablaOpTelas[[#This Row],[m2 unit]]*TablaOpTelas[[#This Row],['#]]</f>
        <v>0</v>
      </c>
      <c r="K86" s="314">
        <f>TablaOpTelas[[#This Row],[ANCHO]]*TablaOpTelas[[#This Row],[ALTO]]*$J$6</f>
        <v>0</v>
      </c>
      <c r="L86" s="315">
        <f>IF($J$7="CAJA TERMINADA",TablaOpTelas[[#This Row],[ANCHO]]+0.013,TablaOpTelas[[#This Row],[ANCHO]]+0.023)</f>
        <v>1.2999999999999999E-2</v>
      </c>
      <c r="M86" s="316">
        <f>IF($J$7="CAJA TERMINADA",TablaOpTelas[[#This Row],[ALTO]]+0.013,TablaOpTelas[[#This Row],[ALTO]]+0.023)</f>
        <v>1.2999999999999999E-2</v>
      </c>
      <c r="N86" s="433">
        <f>'Nota de venta'!L87</f>
        <v>0</v>
      </c>
      <c r="O86" s="417"/>
      <c r="P86" s="417"/>
      <c r="Q86" s="417"/>
      <c r="R86" s="417"/>
      <c r="S86" s="417"/>
      <c r="T86" s="417"/>
      <c r="U86" s="417"/>
      <c r="V86" s="417"/>
      <c r="W86" s="417"/>
      <c r="X86" s="417"/>
      <c r="Y86" s="417"/>
      <c r="Z86" s="417"/>
      <c r="AA86" s="417"/>
      <c r="AB86" s="417"/>
      <c r="AC86" s="417"/>
      <c r="AD86" s="417"/>
      <c r="AE86" s="417"/>
      <c r="AF86" s="417"/>
    </row>
    <row r="87" spans="1:32" s="119" customFormat="1" ht="48" customHeight="1">
      <c r="A87" s="417">
        <v>79</v>
      </c>
      <c r="B87" s="310">
        <f>'Nota de venta'!C88</f>
        <v>0</v>
      </c>
      <c r="C87" s="311">
        <f>'Nota de venta'!G88</f>
        <v>0</v>
      </c>
      <c r="D87" s="320">
        <f>'Nota de venta'!E88</f>
        <v>0</v>
      </c>
      <c r="E87" s="320">
        <f>'Nota de venta'!F88</f>
        <v>0</v>
      </c>
      <c r="F87" s="321">
        <v>1.5</v>
      </c>
      <c r="G87" s="312">
        <f>TablaOpTelas[[#This Row],[ANCHO]]+(TablaOpTelas[[#This Row],[exc cms x lado]]/100)*2</f>
        <v>0.03</v>
      </c>
      <c r="H87" s="312">
        <f>TablaOpTelas[[#This Row],[ALTO]]+(TablaOpTelas[[#This Row],[exc cms x lado]]/100)*2</f>
        <v>0.03</v>
      </c>
      <c r="I87" s="312">
        <f>TablaOpTelas[[#This Row],[ancho final]]*TablaOpTelas[[#This Row],[alto final]]</f>
        <v>8.9999999999999998E-4</v>
      </c>
      <c r="J87" s="312">
        <f>TablaOpTelas[[#This Row],[m2 unit]]*TablaOpTelas[[#This Row],['#]]</f>
        <v>0</v>
      </c>
      <c r="K87" s="314">
        <f>TablaOpTelas[[#This Row],[ANCHO]]*TablaOpTelas[[#This Row],[ALTO]]*$J$6</f>
        <v>0</v>
      </c>
      <c r="L87" s="315">
        <f>IF($J$7="CAJA TERMINADA",TablaOpTelas[[#This Row],[ANCHO]]+0.013,TablaOpTelas[[#This Row],[ANCHO]]+0.023)</f>
        <v>1.2999999999999999E-2</v>
      </c>
      <c r="M87" s="316">
        <f>IF($J$7="CAJA TERMINADA",TablaOpTelas[[#This Row],[ALTO]]+0.013,TablaOpTelas[[#This Row],[ALTO]]+0.023)</f>
        <v>1.2999999999999999E-2</v>
      </c>
      <c r="N87" s="433">
        <f>'Nota de venta'!L88</f>
        <v>0</v>
      </c>
      <c r="O87" s="417"/>
      <c r="P87" s="417"/>
      <c r="Q87" s="417"/>
      <c r="R87" s="417"/>
      <c r="S87" s="417"/>
      <c r="T87" s="417"/>
      <c r="U87" s="417"/>
      <c r="V87" s="417"/>
      <c r="W87" s="417"/>
      <c r="X87" s="417"/>
      <c r="Y87" s="417"/>
      <c r="Z87" s="417"/>
      <c r="AA87" s="417"/>
      <c r="AB87" s="417"/>
      <c r="AC87" s="417"/>
      <c r="AD87" s="417"/>
      <c r="AE87" s="417"/>
      <c r="AF87" s="417"/>
    </row>
    <row r="88" spans="1:32" s="119" customFormat="1" ht="48" customHeight="1">
      <c r="A88" s="417">
        <v>80</v>
      </c>
      <c r="B88" s="310">
        <f>'Nota de venta'!C89</f>
        <v>0</v>
      </c>
      <c r="C88" s="311">
        <f>'Nota de venta'!G89</f>
        <v>0</v>
      </c>
      <c r="D88" s="320">
        <f>'Nota de venta'!E89</f>
        <v>0</v>
      </c>
      <c r="E88" s="320">
        <f>'Nota de venta'!F89</f>
        <v>0</v>
      </c>
      <c r="F88" s="321">
        <v>1.5</v>
      </c>
      <c r="G88" s="312">
        <f>TablaOpTelas[[#This Row],[ANCHO]]+(TablaOpTelas[[#This Row],[exc cms x lado]]/100)*2</f>
        <v>0.03</v>
      </c>
      <c r="H88" s="312">
        <f>TablaOpTelas[[#This Row],[ALTO]]+(TablaOpTelas[[#This Row],[exc cms x lado]]/100)*2</f>
        <v>0.03</v>
      </c>
      <c r="I88" s="312">
        <f>TablaOpTelas[[#This Row],[ancho final]]*TablaOpTelas[[#This Row],[alto final]]</f>
        <v>8.9999999999999998E-4</v>
      </c>
      <c r="J88" s="312">
        <f>TablaOpTelas[[#This Row],[m2 unit]]*TablaOpTelas[[#This Row],['#]]</f>
        <v>0</v>
      </c>
      <c r="K88" s="314">
        <f>TablaOpTelas[[#This Row],[ANCHO]]*TablaOpTelas[[#This Row],[ALTO]]*$J$6</f>
        <v>0</v>
      </c>
      <c r="L88" s="315">
        <f>IF($J$7="CAJA TERMINADA",TablaOpTelas[[#This Row],[ANCHO]]+0.013,TablaOpTelas[[#This Row],[ANCHO]]+0.023)</f>
        <v>1.2999999999999999E-2</v>
      </c>
      <c r="M88" s="316">
        <f>IF($J$7="CAJA TERMINADA",TablaOpTelas[[#This Row],[ALTO]]+0.013,TablaOpTelas[[#This Row],[ALTO]]+0.023)</f>
        <v>1.2999999999999999E-2</v>
      </c>
      <c r="N88" s="433">
        <f>'Nota de venta'!L89</f>
        <v>0</v>
      </c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</row>
    <row r="89" spans="1:32" s="119" customFormat="1" ht="48" customHeight="1">
      <c r="A89" s="417">
        <v>81</v>
      </c>
      <c r="B89" s="310">
        <f>'Nota de venta'!C90</f>
        <v>0</v>
      </c>
      <c r="C89" s="311">
        <f>'Nota de venta'!G90</f>
        <v>0</v>
      </c>
      <c r="D89" s="320">
        <f>'Nota de venta'!E90</f>
        <v>0</v>
      </c>
      <c r="E89" s="320">
        <f>'Nota de venta'!F90</f>
        <v>0</v>
      </c>
      <c r="F89" s="321">
        <v>1.5</v>
      </c>
      <c r="G89" s="312">
        <f>TablaOpTelas[[#This Row],[ANCHO]]+(TablaOpTelas[[#This Row],[exc cms x lado]]/100)*2</f>
        <v>0.03</v>
      </c>
      <c r="H89" s="312">
        <f>TablaOpTelas[[#This Row],[ALTO]]+(TablaOpTelas[[#This Row],[exc cms x lado]]/100)*2</f>
        <v>0.03</v>
      </c>
      <c r="I89" s="312">
        <f>TablaOpTelas[[#This Row],[ancho final]]*TablaOpTelas[[#This Row],[alto final]]</f>
        <v>8.9999999999999998E-4</v>
      </c>
      <c r="J89" s="312">
        <f>TablaOpTelas[[#This Row],[m2 unit]]*TablaOpTelas[[#This Row],['#]]</f>
        <v>0</v>
      </c>
      <c r="K89" s="314">
        <f>TablaOpTelas[[#This Row],[ANCHO]]*TablaOpTelas[[#This Row],[ALTO]]*$J$6</f>
        <v>0</v>
      </c>
      <c r="L89" s="315">
        <f>IF($J$7="CAJA TERMINADA",TablaOpTelas[[#This Row],[ANCHO]]+0.013,TablaOpTelas[[#This Row],[ANCHO]]+0.023)</f>
        <v>1.2999999999999999E-2</v>
      </c>
      <c r="M89" s="316">
        <f>IF($J$7="CAJA TERMINADA",TablaOpTelas[[#This Row],[ALTO]]+0.013,TablaOpTelas[[#This Row],[ALTO]]+0.023)</f>
        <v>1.2999999999999999E-2</v>
      </c>
      <c r="N89" s="433">
        <f>'Nota de venta'!L90</f>
        <v>0</v>
      </c>
      <c r="O89" s="417"/>
      <c r="P89" s="417"/>
      <c r="Q89" s="417"/>
      <c r="R89" s="417"/>
      <c r="S89" s="417"/>
      <c r="T89" s="417"/>
      <c r="U89" s="417"/>
      <c r="V89" s="417"/>
      <c r="W89" s="417"/>
      <c r="X89" s="417"/>
      <c r="Y89" s="417"/>
      <c r="Z89" s="417"/>
      <c r="AA89" s="417"/>
      <c r="AB89" s="417"/>
      <c r="AC89" s="417"/>
      <c r="AD89" s="417"/>
      <c r="AE89" s="417"/>
      <c r="AF89" s="417"/>
    </row>
    <row r="90" spans="1:32" s="119" customFormat="1" ht="48" customHeight="1">
      <c r="A90" s="417">
        <v>82</v>
      </c>
      <c r="B90" s="310">
        <f>'Nota de venta'!C91</f>
        <v>0</v>
      </c>
      <c r="C90" s="311">
        <f>'Nota de venta'!G91</f>
        <v>0</v>
      </c>
      <c r="D90" s="320">
        <f>'Nota de venta'!E91</f>
        <v>0</v>
      </c>
      <c r="E90" s="320">
        <f>'Nota de venta'!F91</f>
        <v>0</v>
      </c>
      <c r="F90" s="321">
        <v>1.5</v>
      </c>
      <c r="G90" s="312">
        <f>TablaOpTelas[[#This Row],[ANCHO]]+(TablaOpTelas[[#This Row],[exc cms x lado]]/100)*2</f>
        <v>0.03</v>
      </c>
      <c r="H90" s="312">
        <f>TablaOpTelas[[#This Row],[ALTO]]+(TablaOpTelas[[#This Row],[exc cms x lado]]/100)*2</f>
        <v>0.03</v>
      </c>
      <c r="I90" s="312">
        <f>TablaOpTelas[[#This Row],[ancho final]]*TablaOpTelas[[#This Row],[alto final]]</f>
        <v>8.9999999999999998E-4</v>
      </c>
      <c r="J90" s="312">
        <f>TablaOpTelas[[#This Row],[m2 unit]]*TablaOpTelas[[#This Row],['#]]</f>
        <v>0</v>
      </c>
      <c r="K90" s="314">
        <f>TablaOpTelas[[#This Row],[ANCHO]]*TablaOpTelas[[#This Row],[ALTO]]*$J$6</f>
        <v>0</v>
      </c>
      <c r="L90" s="315">
        <f>IF($J$7="CAJA TERMINADA",TablaOpTelas[[#This Row],[ANCHO]]+0.013,TablaOpTelas[[#This Row],[ANCHO]]+0.023)</f>
        <v>1.2999999999999999E-2</v>
      </c>
      <c r="M90" s="316">
        <f>IF($J$7="CAJA TERMINADA",TablaOpTelas[[#This Row],[ALTO]]+0.013,TablaOpTelas[[#This Row],[ALTO]]+0.023)</f>
        <v>1.2999999999999999E-2</v>
      </c>
      <c r="N90" s="433">
        <f>'Nota de venta'!L91</f>
        <v>0</v>
      </c>
      <c r="O90" s="417"/>
      <c r="P90" s="417"/>
      <c r="Q90" s="417"/>
      <c r="R90" s="417"/>
      <c r="S90" s="417"/>
      <c r="T90" s="417"/>
      <c r="U90" s="417"/>
      <c r="V90" s="417"/>
      <c r="W90" s="417"/>
      <c r="X90" s="417"/>
      <c r="Y90" s="417"/>
      <c r="Z90" s="417"/>
      <c r="AA90" s="417"/>
      <c r="AB90" s="417"/>
      <c r="AC90" s="417"/>
      <c r="AD90" s="417"/>
      <c r="AE90" s="417"/>
      <c r="AF90" s="417"/>
    </row>
    <row r="91" spans="1:32" s="119" customFormat="1" ht="48" customHeight="1">
      <c r="A91" s="417">
        <v>83</v>
      </c>
      <c r="B91" s="310">
        <f>'Nota de venta'!C92</f>
        <v>0</v>
      </c>
      <c r="C91" s="311">
        <f>'Nota de venta'!G92</f>
        <v>0</v>
      </c>
      <c r="D91" s="320">
        <f>'Nota de venta'!E92</f>
        <v>0</v>
      </c>
      <c r="E91" s="320">
        <f>'Nota de venta'!F92</f>
        <v>0</v>
      </c>
      <c r="F91" s="321">
        <v>1.5</v>
      </c>
      <c r="G91" s="312">
        <f>TablaOpTelas[[#This Row],[ANCHO]]+(TablaOpTelas[[#This Row],[exc cms x lado]]/100)*2</f>
        <v>0.03</v>
      </c>
      <c r="H91" s="312">
        <f>TablaOpTelas[[#This Row],[ALTO]]+(TablaOpTelas[[#This Row],[exc cms x lado]]/100)*2</f>
        <v>0.03</v>
      </c>
      <c r="I91" s="312">
        <f>TablaOpTelas[[#This Row],[ancho final]]*TablaOpTelas[[#This Row],[alto final]]</f>
        <v>8.9999999999999998E-4</v>
      </c>
      <c r="J91" s="312">
        <f>TablaOpTelas[[#This Row],[m2 unit]]*TablaOpTelas[[#This Row],['#]]</f>
        <v>0</v>
      </c>
      <c r="K91" s="314">
        <f>TablaOpTelas[[#This Row],[ANCHO]]*TablaOpTelas[[#This Row],[ALTO]]*$J$6</f>
        <v>0</v>
      </c>
      <c r="L91" s="315">
        <f>IF($J$7="CAJA TERMINADA",TablaOpTelas[[#This Row],[ANCHO]]+0.013,TablaOpTelas[[#This Row],[ANCHO]]+0.023)</f>
        <v>1.2999999999999999E-2</v>
      </c>
      <c r="M91" s="316">
        <f>IF($J$7="CAJA TERMINADA",TablaOpTelas[[#This Row],[ALTO]]+0.013,TablaOpTelas[[#This Row],[ALTO]]+0.023)</f>
        <v>1.2999999999999999E-2</v>
      </c>
      <c r="N91" s="433">
        <f>'Nota de venta'!L92</f>
        <v>0</v>
      </c>
      <c r="O91" s="417"/>
      <c r="P91" s="417"/>
      <c r="Q91" s="417"/>
      <c r="R91" s="417"/>
      <c r="S91" s="417"/>
      <c r="T91" s="417"/>
      <c r="U91" s="417"/>
      <c r="V91" s="417"/>
      <c r="W91" s="417"/>
      <c r="X91" s="417"/>
      <c r="Y91" s="417"/>
      <c r="Z91" s="417"/>
      <c r="AA91" s="417"/>
      <c r="AB91" s="417"/>
      <c r="AC91" s="417"/>
      <c r="AD91" s="417"/>
      <c r="AE91" s="417"/>
      <c r="AF91" s="417"/>
    </row>
    <row r="92" spans="1:32" s="119" customFormat="1" ht="48" customHeight="1">
      <c r="A92" s="417">
        <v>84</v>
      </c>
      <c r="B92" s="310">
        <f>'Nota de venta'!C93</f>
        <v>0</v>
      </c>
      <c r="C92" s="311">
        <f>'Nota de venta'!G93</f>
        <v>0</v>
      </c>
      <c r="D92" s="320">
        <f>'Nota de venta'!E93</f>
        <v>0</v>
      </c>
      <c r="E92" s="320">
        <f>'Nota de venta'!F93</f>
        <v>0</v>
      </c>
      <c r="F92" s="321">
        <v>1.5</v>
      </c>
      <c r="G92" s="312">
        <f>TablaOpTelas[[#This Row],[ANCHO]]+(TablaOpTelas[[#This Row],[exc cms x lado]]/100)*2</f>
        <v>0.03</v>
      </c>
      <c r="H92" s="312">
        <f>TablaOpTelas[[#This Row],[ALTO]]+(TablaOpTelas[[#This Row],[exc cms x lado]]/100)*2</f>
        <v>0.03</v>
      </c>
      <c r="I92" s="312">
        <f>TablaOpTelas[[#This Row],[ancho final]]*TablaOpTelas[[#This Row],[alto final]]</f>
        <v>8.9999999999999998E-4</v>
      </c>
      <c r="J92" s="312">
        <f>TablaOpTelas[[#This Row],[m2 unit]]*TablaOpTelas[[#This Row],['#]]</f>
        <v>0</v>
      </c>
      <c r="K92" s="314">
        <f>TablaOpTelas[[#This Row],[ANCHO]]*TablaOpTelas[[#This Row],[ALTO]]*$J$6</f>
        <v>0</v>
      </c>
      <c r="L92" s="315">
        <f>IF($J$7="CAJA TERMINADA",TablaOpTelas[[#This Row],[ANCHO]]+0.013,TablaOpTelas[[#This Row],[ANCHO]]+0.023)</f>
        <v>1.2999999999999999E-2</v>
      </c>
      <c r="M92" s="316">
        <f>IF($J$7="CAJA TERMINADA",TablaOpTelas[[#This Row],[ALTO]]+0.013,TablaOpTelas[[#This Row],[ALTO]]+0.023)</f>
        <v>1.2999999999999999E-2</v>
      </c>
      <c r="N92" s="433">
        <f>'Nota de venta'!L93</f>
        <v>0</v>
      </c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</row>
    <row r="93" spans="1:32" s="119" customFormat="1" ht="48" customHeight="1">
      <c r="A93" s="417">
        <v>85</v>
      </c>
      <c r="B93" s="310">
        <f>'Nota de venta'!C94</f>
        <v>0</v>
      </c>
      <c r="C93" s="311">
        <f>'Nota de venta'!G94</f>
        <v>0</v>
      </c>
      <c r="D93" s="320">
        <f>'Nota de venta'!E94</f>
        <v>0</v>
      </c>
      <c r="E93" s="320">
        <f>'Nota de venta'!F94</f>
        <v>0</v>
      </c>
      <c r="F93" s="321">
        <v>1.5</v>
      </c>
      <c r="G93" s="312">
        <f>TablaOpTelas[[#This Row],[ANCHO]]+(TablaOpTelas[[#This Row],[exc cms x lado]]/100)*2</f>
        <v>0.03</v>
      </c>
      <c r="H93" s="312">
        <f>TablaOpTelas[[#This Row],[ALTO]]+(TablaOpTelas[[#This Row],[exc cms x lado]]/100)*2</f>
        <v>0.03</v>
      </c>
      <c r="I93" s="312">
        <f>TablaOpTelas[[#This Row],[ancho final]]*TablaOpTelas[[#This Row],[alto final]]</f>
        <v>8.9999999999999998E-4</v>
      </c>
      <c r="J93" s="312">
        <f>TablaOpTelas[[#This Row],[m2 unit]]*TablaOpTelas[[#This Row],['#]]</f>
        <v>0</v>
      </c>
      <c r="K93" s="314">
        <f>TablaOpTelas[[#This Row],[ANCHO]]*TablaOpTelas[[#This Row],[ALTO]]*$J$6</f>
        <v>0</v>
      </c>
      <c r="L93" s="315">
        <f>IF($J$7="CAJA TERMINADA",TablaOpTelas[[#This Row],[ANCHO]]+0.013,TablaOpTelas[[#This Row],[ANCHO]]+0.023)</f>
        <v>1.2999999999999999E-2</v>
      </c>
      <c r="M93" s="316">
        <f>IF($J$7="CAJA TERMINADA",TablaOpTelas[[#This Row],[ALTO]]+0.013,TablaOpTelas[[#This Row],[ALTO]]+0.023)</f>
        <v>1.2999999999999999E-2</v>
      </c>
      <c r="N93" s="433">
        <f>'Nota de venta'!L94</f>
        <v>0</v>
      </c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</row>
    <row r="94" spans="1:32" s="119" customFormat="1" ht="48" customHeight="1">
      <c r="A94" s="417">
        <v>86</v>
      </c>
      <c r="B94" s="310">
        <f>'Nota de venta'!C95</f>
        <v>0</v>
      </c>
      <c r="C94" s="311">
        <f>'Nota de venta'!G95</f>
        <v>0</v>
      </c>
      <c r="D94" s="320">
        <f>'Nota de venta'!E95</f>
        <v>0</v>
      </c>
      <c r="E94" s="320">
        <f>'Nota de venta'!F95</f>
        <v>0</v>
      </c>
      <c r="F94" s="321">
        <v>1.5</v>
      </c>
      <c r="G94" s="312">
        <f>TablaOpTelas[[#This Row],[ANCHO]]+(TablaOpTelas[[#This Row],[exc cms x lado]]/100)*2</f>
        <v>0.03</v>
      </c>
      <c r="H94" s="312">
        <f>TablaOpTelas[[#This Row],[ALTO]]+(TablaOpTelas[[#This Row],[exc cms x lado]]/100)*2</f>
        <v>0.03</v>
      </c>
      <c r="I94" s="312">
        <f>TablaOpTelas[[#This Row],[ancho final]]*TablaOpTelas[[#This Row],[alto final]]</f>
        <v>8.9999999999999998E-4</v>
      </c>
      <c r="J94" s="312">
        <f>TablaOpTelas[[#This Row],[m2 unit]]*TablaOpTelas[[#This Row],['#]]</f>
        <v>0</v>
      </c>
      <c r="K94" s="314">
        <f>TablaOpTelas[[#This Row],[ANCHO]]*TablaOpTelas[[#This Row],[ALTO]]*$J$6</f>
        <v>0</v>
      </c>
      <c r="L94" s="315">
        <f>IF($J$7="CAJA TERMINADA",TablaOpTelas[[#This Row],[ANCHO]]+0.013,TablaOpTelas[[#This Row],[ANCHO]]+0.023)</f>
        <v>1.2999999999999999E-2</v>
      </c>
      <c r="M94" s="316">
        <f>IF($J$7="CAJA TERMINADA",TablaOpTelas[[#This Row],[ALTO]]+0.013,TablaOpTelas[[#This Row],[ALTO]]+0.023)</f>
        <v>1.2999999999999999E-2</v>
      </c>
      <c r="N94" s="433">
        <f>'Nota de venta'!L95</f>
        <v>0</v>
      </c>
      <c r="O94" s="417"/>
      <c r="P94" s="417"/>
      <c r="Q94" s="417"/>
      <c r="R94" s="417"/>
      <c r="S94" s="417"/>
      <c r="T94" s="417"/>
      <c r="U94" s="417"/>
      <c r="V94" s="417"/>
      <c r="W94" s="417"/>
      <c r="X94" s="417"/>
      <c r="Y94" s="417"/>
      <c r="Z94" s="417"/>
      <c r="AA94" s="417"/>
      <c r="AB94" s="417"/>
      <c r="AC94" s="417"/>
      <c r="AD94" s="417"/>
      <c r="AE94" s="417"/>
      <c r="AF94" s="417"/>
    </row>
    <row r="95" spans="1:32" s="119" customFormat="1" ht="48" customHeight="1">
      <c r="A95" s="417">
        <v>87</v>
      </c>
      <c r="B95" s="310">
        <f>'Nota de venta'!C96</f>
        <v>0</v>
      </c>
      <c r="C95" s="311">
        <f>'Nota de venta'!G96</f>
        <v>0</v>
      </c>
      <c r="D95" s="320">
        <f>'Nota de venta'!E96</f>
        <v>0</v>
      </c>
      <c r="E95" s="320">
        <f>'Nota de venta'!F96</f>
        <v>0</v>
      </c>
      <c r="F95" s="321">
        <v>1.5</v>
      </c>
      <c r="G95" s="312">
        <f>TablaOpTelas[[#This Row],[ANCHO]]+(TablaOpTelas[[#This Row],[exc cms x lado]]/100)*2</f>
        <v>0.03</v>
      </c>
      <c r="H95" s="312">
        <f>TablaOpTelas[[#This Row],[ALTO]]+(TablaOpTelas[[#This Row],[exc cms x lado]]/100)*2</f>
        <v>0.03</v>
      </c>
      <c r="I95" s="312">
        <f>TablaOpTelas[[#This Row],[ancho final]]*TablaOpTelas[[#This Row],[alto final]]</f>
        <v>8.9999999999999998E-4</v>
      </c>
      <c r="J95" s="312">
        <f>TablaOpTelas[[#This Row],[m2 unit]]*TablaOpTelas[[#This Row],['#]]</f>
        <v>0</v>
      </c>
      <c r="K95" s="314">
        <f>TablaOpTelas[[#This Row],[ANCHO]]*TablaOpTelas[[#This Row],[ALTO]]*$J$6</f>
        <v>0</v>
      </c>
      <c r="L95" s="315">
        <f>IF($J$7="CAJA TERMINADA",TablaOpTelas[[#This Row],[ANCHO]]+0.013,TablaOpTelas[[#This Row],[ANCHO]]+0.023)</f>
        <v>1.2999999999999999E-2</v>
      </c>
      <c r="M95" s="316">
        <f>IF($J$7="CAJA TERMINADA",TablaOpTelas[[#This Row],[ALTO]]+0.013,TablaOpTelas[[#This Row],[ALTO]]+0.023)</f>
        <v>1.2999999999999999E-2</v>
      </c>
      <c r="N95" s="433">
        <f>'Nota de venta'!L96</f>
        <v>0</v>
      </c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</row>
    <row r="96" spans="1:32" s="119" customFormat="1" ht="48" customHeight="1">
      <c r="A96" s="417">
        <v>88</v>
      </c>
      <c r="B96" s="310">
        <f>'Nota de venta'!C97</f>
        <v>0</v>
      </c>
      <c r="C96" s="311">
        <f>'Nota de venta'!G97</f>
        <v>0</v>
      </c>
      <c r="D96" s="320">
        <f>'Nota de venta'!E97</f>
        <v>0</v>
      </c>
      <c r="E96" s="320">
        <f>'Nota de venta'!F97</f>
        <v>0</v>
      </c>
      <c r="F96" s="321">
        <v>1.5</v>
      </c>
      <c r="G96" s="312">
        <f>TablaOpTelas[[#This Row],[ANCHO]]+(TablaOpTelas[[#This Row],[exc cms x lado]]/100)*2</f>
        <v>0.03</v>
      </c>
      <c r="H96" s="312">
        <f>TablaOpTelas[[#This Row],[ALTO]]+(TablaOpTelas[[#This Row],[exc cms x lado]]/100)*2</f>
        <v>0.03</v>
      </c>
      <c r="I96" s="312">
        <f>TablaOpTelas[[#This Row],[ancho final]]*TablaOpTelas[[#This Row],[alto final]]</f>
        <v>8.9999999999999998E-4</v>
      </c>
      <c r="J96" s="312">
        <f>TablaOpTelas[[#This Row],[m2 unit]]*TablaOpTelas[[#This Row],['#]]</f>
        <v>0</v>
      </c>
      <c r="K96" s="314">
        <f>TablaOpTelas[[#This Row],[ANCHO]]*TablaOpTelas[[#This Row],[ALTO]]*$J$6</f>
        <v>0</v>
      </c>
      <c r="L96" s="315">
        <f>IF($J$7="CAJA TERMINADA",TablaOpTelas[[#This Row],[ANCHO]]+0.013,TablaOpTelas[[#This Row],[ANCHO]]+0.023)</f>
        <v>1.2999999999999999E-2</v>
      </c>
      <c r="M96" s="316">
        <f>IF($J$7="CAJA TERMINADA",TablaOpTelas[[#This Row],[ALTO]]+0.013,TablaOpTelas[[#This Row],[ALTO]]+0.023)</f>
        <v>1.2999999999999999E-2</v>
      </c>
      <c r="N96" s="433">
        <f>'Nota de venta'!L97</f>
        <v>0</v>
      </c>
      <c r="O96" s="417"/>
      <c r="P96" s="417"/>
      <c r="Q96" s="417"/>
      <c r="R96" s="417"/>
      <c r="S96" s="417"/>
      <c r="T96" s="417"/>
      <c r="U96" s="417"/>
      <c r="V96" s="417"/>
      <c r="W96" s="417"/>
      <c r="X96" s="417"/>
      <c r="Y96" s="417"/>
      <c r="Z96" s="417"/>
      <c r="AA96" s="417"/>
      <c r="AB96" s="417"/>
      <c r="AC96" s="417"/>
      <c r="AD96" s="417"/>
      <c r="AE96" s="417"/>
      <c r="AF96" s="417"/>
    </row>
    <row r="97" spans="1:32" s="119" customFormat="1" ht="48" customHeight="1">
      <c r="A97" s="417">
        <v>89</v>
      </c>
      <c r="B97" s="310">
        <f>'Nota de venta'!C98</f>
        <v>0</v>
      </c>
      <c r="C97" s="311">
        <f>'Nota de venta'!G98</f>
        <v>0</v>
      </c>
      <c r="D97" s="320">
        <f>'Nota de venta'!E98</f>
        <v>0</v>
      </c>
      <c r="E97" s="320">
        <f>'Nota de venta'!F98</f>
        <v>0</v>
      </c>
      <c r="F97" s="321">
        <v>1.5</v>
      </c>
      <c r="G97" s="312">
        <f>TablaOpTelas[[#This Row],[ANCHO]]+(TablaOpTelas[[#This Row],[exc cms x lado]]/100)*2</f>
        <v>0.03</v>
      </c>
      <c r="H97" s="312">
        <f>TablaOpTelas[[#This Row],[ALTO]]+(TablaOpTelas[[#This Row],[exc cms x lado]]/100)*2</f>
        <v>0.03</v>
      </c>
      <c r="I97" s="312">
        <f>TablaOpTelas[[#This Row],[ancho final]]*TablaOpTelas[[#This Row],[alto final]]</f>
        <v>8.9999999999999998E-4</v>
      </c>
      <c r="J97" s="312">
        <f>TablaOpTelas[[#This Row],[m2 unit]]*TablaOpTelas[[#This Row],['#]]</f>
        <v>0</v>
      </c>
      <c r="K97" s="314">
        <f>TablaOpTelas[[#This Row],[ANCHO]]*TablaOpTelas[[#This Row],[ALTO]]*$J$6</f>
        <v>0</v>
      </c>
      <c r="L97" s="315">
        <f>IF($J$7="CAJA TERMINADA",TablaOpTelas[[#This Row],[ANCHO]]+0.013,TablaOpTelas[[#This Row],[ANCHO]]+0.023)</f>
        <v>1.2999999999999999E-2</v>
      </c>
      <c r="M97" s="316">
        <f>IF($J$7="CAJA TERMINADA",TablaOpTelas[[#This Row],[ALTO]]+0.013,TablaOpTelas[[#This Row],[ALTO]]+0.023)</f>
        <v>1.2999999999999999E-2</v>
      </c>
      <c r="N97" s="433">
        <f>'Nota de venta'!L98</f>
        <v>0</v>
      </c>
      <c r="O97" s="417"/>
      <c r="P97" s="417"/>
      <c r="Q97" s="417"/>
      <c r="R97" s="417"/>
      <c r="S97" s="417"/>
      <c r="T97" s="417"/>
      <c r="U97" s="417"/>
      <c r="V97" s="417"/>
      <c r="W97" s="417"/>
      <c r="X97" s="417"/>
      <c r="Y97" s="417"/>
      <c r="Z97" s="417"/>
      <c r="AA97" s="417"/>
      <c r="AB97" s="417"/>
      <c r="AC97" s="417"/>
      <c r="AD97" s="417"/>
      <c r="AE97" s="417"/>
      <c r="AF97" s="417"/>
    </row>
    <row r="98" spans="1:32" s="119" customFormat="1" ht="48" customHeight="1">
      <c r="A98" s="417">
        <v>90</v>
      </c>
      <c r="B98" s="310">
        <f>'Nota de venta'!C99</f>
        <v>0</v>
      </c>
      <c r="C98" s="311">
        <f>'Nota de venta'!G99</f>
        <v>0</v>
      </c>
      <c r="D98" s="320">
        <f>'Nota de venta'!E99</f>
        <v>0</v>
      </c>
      <c r="E98" s="320">
        <f>'Nota de venta'!F99</f>
        <v>0</v>
      </c>
      <c r="F98" s="321">
        <v>1.5</v>
      </c>
      <c r="G98" s="312">
        <f>TablaOpTelas[[#This Row],[ANCHO]]+(TablaOpTelas[[#This Row],[exc cms x lado]]/100)*2</f>
        <v>0.03</v>
      </c>
      <c r="H98" s="312">
        <f>TablaOpTelas[[#This Row],[ALTO]]+(TablaOpTelas[[#This Row],[exc cms x lado]]/100)*2</f>
        <v>0.03</v>
      </c>
      <c r="I98" s="312">
        <f>TablaOpTelas[[#This Row],[ancho final]]*TablaOpTelas[[#This Row],[alto final]]</f>
        <v>8.9999999999999998E-4</v>
      </c>
      <c r="J98" s="312">
        <f>TablaOpTelas[[#This Row],[m2 unit]]*TablaOpTelas[[#This Row],['#]]</f>
        <v>0</v>
      </c>
      <c r="K98" s="314">
        <f>TablaOpTelas[[#This Row],[ANCHO]]*TablaOpTelas[[#This Row],[ALTO]]*$J$6</f>
        <v>0</v>
      </c>
      <c r="L98" s="315">
        <f>IF($J$7="CAJA TERMINADA",TablaOpTelas[[#This Row],[ANCHO]]+0.013,TablaOpTelas[[#This Row],[ANCHO]]+0.023)</f>
        <v>1.2999999999999999E-2</v>
      </c>
      <c r="M98" s="316">
        <f>IF($J$7="CAJA TERMINADA",TablaOpTelas[[#This Row],[ALTO]]+0.013,TablaOpTelas[[#This Row],[ALTO]]+0.023)</f>
        <v>1.2999999999999999E-2</v>
      </c>
      <c r="N98" s="433">
        <f>'Nota de venta'!L99</f>
        <v>0</v>
      </c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</row>
    <row r="99" spans="1:32" s="119" customFormat="1" ht="48" customHeight="1">
      <c r="A99" s="417">
        <v>91</v>
      </c>
      <c r="B99" s="310">
        <f>'Nota de venta'!C100</f>
        <v>0</v>
      </c>
      <c r="C99" s="311">
        <f>'Nota de venta'!G100</f>
        <v>0</v>
      </c>
      <c r="D99" s="320">
        <f>'Nota de venta'!E100</f>
        <v>0</v>
      </c>
      <c r="E99" s="320">
        <f>'Nota de venta'!F100</f>
        <v>0</v>
      </c>
      <c r="F99" s="321">
        <v>1.5</v>
      </c>
      <c r="G99" s="312">
        <f>TablaOpTelas[[#This Row],[ANCHO]]+(TablaOpTelas[[#This Row],[exc cms x lado]]/100)*2</f>
        <v>0.03</v>
      </c>
      <c r="H99" s="312">
        <f>TablaOpTelas[[#This Row],[ALTO]]+(TablaOpTelas[[#This Row],[exc cms x lado]]/100)*2</f>
        <v>0.03</v>
      </c>
      <c r="I99" s="312">
        <f>TablaOpTelas[[#This Row],[ancho final]]*TablaOpTelas[[#This Row],[alto final]]</f>
        <v>8.9999999999999998E-4</v>
      </c>
      <c r="J99" s="312">
        <f>TablaOpTelas[[#This Row],[m2 unit]]*TablaOpTelas[[#This Row],['#]]</f>
        <v>0</v>
      </c>
      <c r="K99" s="314">
        <f>TablaOpTelas[[#This Row],[ANCHO]]*TablaOpTelas[[#This Row],[ALTO]]*$J$6</f>
        <v>0</v>
      </c>
      <c r="L99" s="315">
        <f>IF($J$7="CAJA TERMINADA",TablaOpTelas[[#This Row],[ANCHO]]+0.013,TablaOpTelas[[#This Row],[ANCHO]]+0.023)</f>
        <v>1.2999999999999999E-2</v>
      </c>
      <c r="M99" s="316">
        <f>IF($J$7="CAJA TERMINADA",TablaOpTelas[[#This Row],[ALTO]]+0.013,TablaOpTelas[[#This Row],[ALTO]]+0.023)</f>
        <v>1.2999999999999999E-2</v>
      </c>
      <c r="N99" s="433">
        <f>'Nota de venta'!L100</f>
        <v>0</v>
      </c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</row>
    <row r="100" spans="1:32" s="119" customFormat="1" ht="48" customHeight="1">
      <c r="A100" s="417">
        <v>92</v>
      </c>
      <c r="B100" s="310">
        <f>'Nota de venta'!C101</f>
        <v>0</v>
      </c>
      <c r="C100" s="311">
        <f>'Nota de venta'!G101</f>
        <v>0</v>
      </c>
      <c r="D100" s="320">
        <f>'Nota de venta'!E101</f>
        <v>0</v>
      </c>
      <c r="E100" s="320">
        <f>'Nota de venta'!F101</f>
        <v>0</v>
      </c>
      <c r="F100" s="321">
        <v>1.5</v>
      </c>
      <c r="G100" s="312">
        <f>TablaOpTelas[[#This Row],[ANCHO]]+(TablaOpTelas[[#This Row],[exc cms x lado]]/100)*2</f>
        <v>0.03</v>
      </c>
      <c r="H100" s="312">
        <f>TablaOpTelas[[#This Row],[ALTO]]+(TablaOpTelas[[#This Row],[exc cms x lado]]/100)*2</f>
        <v>0.03</v>
      </c>
      <c r="I100" s="312">
        <f>TablaOpTelas[[#This Row],[ancho final]]*TablaOpTelas[[#This Row],[alto final]]</f>
        <v>8.9999999999999998E-4</v>
      </c>
      <c r="J100" s="312">
        <f>TablaOpTelas[[#This Row],[m2 unit]]*TablaOpTelas[[#This Row],['#]]</f>
        <v>0</v>
      </c>
      <c r="K100" s="314">
        <f>TablaOpTelas[[#This Row],[ANCHO]]*TablaOpTelas[[#This Row],[ALTO]]*$J$6</f>
        <v>0</v>
      </c>
      <c r="L100" s="315">
        <f>IF($J$7="CAJA TERMINADA",TablaOpTelas[[#This Row],[ANCHO]]+0.013,TablaOpTelas[[#This Row],[ANCHO]]+0.023)</f>
        <v>1.2999999999999999E-2</v>
      </c>
      <c r="M100" s="316">
        <f>IF($J$7="CAJA TERMINADA",TablaOpTelas[[#This Row],[ALTO]]+0.013,TablaOpTelas[[#This Row],[ALTO]]+0.023)</f>
        <v>1.2999999999999999E-2</v>
      </c>
      <c r="N100" s="433">
        <f>'Nota de venta'!L101</f>
        <v>0</v>
      </c>
      <c r="O100" s="417"/>
      <c r="P100" s="417"/>
      <c r="Q100" s="417"/>
      <c r="R100" s="417"/>
      <c r="S100" s="417"/>
      <c r="T100" s="417"/>
      <c r="U100" s="417"/>
      <c r="V100" s="417"/>
      <c r="W100" s="417"/>
      <c r="X100" s="417"/>
      <c r="Y100" s="417"/>
      <c r="Z100" s="417"/>
      <c r="AA100" s="417"/>
      <c r="AB100" s="417"/>
      <c r="AC100" s="417"/>
      <c r="AD100" s="417"/>
      <c r="AE100" s="417"/>
      <c r="AF100" s="417"/>
    </row>
    <row r="101" spans="1:32" s="119" customFormat="1" ht="48" customHeight="1">
      <c r="A101" s="417">
        <v>93</v>
      </c>
      <c r="B101" s="310">
        <f>'Nota de venta'!C102</f>
        <v>0</v>
      </c>
      <c r="C101" s="311">
        <f>'Nota de venta'!G102</f>
        <v>0</v>
      </c>
      <c r="D101" s="320">
        <f>'Nota de venta'!E102</f>
        <v>0</v>
      </c>
      <c r="E101" s="320">
        <f>'Nota de venta'!F102</f>
        <v>0</v>
      </c>
      <c r="F101" s="321">
        <v>1.5</v>
      </c>
      <c r="G101" s="312">
        <f>TablaOpTelas[[#This Row],[ANCHO]]+(TablaOpTelas[[#This Row],[exc cms x lado]]/100)*2</f>
        <v>0.03</v>
      </c>
      <c r="H101" s="312">
        <f>TablaOpTelas[[#This Row],[ALTO]]+(TablaOpTelas[[#This Row],[exc cms x lado]]/100)*2</f>
        <v>0.03</v>
      </c>
      <c r="I101" s="312">
        <f>TablaOpTelas[[#This Row],[ancho final]]*TablaOpTelas[[#This Row],[alto final]]</f>
        <v>8.9999999999999998E-4</v>
      </c>
      <c r="J101" s="312">
        <f>TablaOpTelas[[#This Row],[m2 unit]]*TablaOpTelas[[#This Row],['#]]</f>
        <v>0</v>
      </c>
      <c r="K101" s="314">
        <f>TablaOpTelas[[#This Row],[ANCHO]]*TablaOpTelas[[#This Row],[ALTO]]*$J$6</f>
        <v>0</v>
      </c>
      <c r="L101" s="315">
        <f>IF($J$7="CAJA TERMINADA",TablaOpTelas[[#This Row],[ANCHO]]+0.013,TablaOpTelas[[#This Row],[ANCHO]]+0.023)</f>
        <v>1.2999999999999999E-2</v>
      </c>
      <c r="M101" s="316">
        <f>IF($J$7="CAJA TERMINADA",TablaOpTelas[[#This Row],[ALTO]]+0.013,TablaOpTelas[[#This Row],[ALTO]]+0.023)</f>
        <v>1.2999999999999999E-2</v>
      </c>
      <c r="N101" s="433">
        <f>'Nota de venta'!L102</f>
        <v>0</v>
      </c>
      <c r="O101" s="417"/>
      <c r="P101" s="417"/>
      <c r="Q101" s="417"/>
      <c r="R101" s="417"/>
      <c r="S101" s="417"/>
      <c r="T101" s="417"/>
      <c r="U101" s="417"/>
      <c r="V101" s="417"/>
      <c r="W101" s="417"/>
      <c r="X101" s="417"/>
      <c r="Y101" s="417"/>
      <c r="Z101" s="417"/>
      <c r="AA101" s="417"/>
      <c r="AB101" s="417"/>
      <c r="AC101" s="417"/>
      <c r="AD101" s="417"/>
      <c r="AE101" s="417"/>
      <c r="AF101" s="417"/>
    </row>
    <row r="102" spans="1:32" s="119" customFormat="1" ht="48" customHeight="1">
      <c r="A102" s="417">
        <v>94</v>
      </c>
      <c r="B102" s="310">
        <f>'Nota de venta'!C103</f>
        <v>0</v>
      </c>
      <c r="C102" s="311">
        <f>'Nota de venta'!G103</f>
        <v>0</v>
      </c>
      <c r="D102" s="320">
        <f>'Nota de venta'!E103</f>
        <v>0</v>
      </c>
      <c r="E102" s="320">
        <f>'Nota de venta'!F103</f>
        <v>0</v>
      </c>
      <c r="F102" s="321">
        <v>1.5</v>
      </c>
      <c r="G102" s="312">
        <f>TablaOpTelas[[#This Row],[ANCHO]]+(TablaOpTelas[[#This Row],[exc cms x lado]]/100)*2</f>
        <v>0.03</v>
      </c>
      <c r="H102" s="312">
        <f>TablaOpTelas[[#This Row],[ALTO]]+(TablaOpTelas[[#This Row],[exc cms x lado]]/100)*2</f>
        <v>0.03</v>
      </c>
      <c r="I102" s="312">
        <f>TablaOpTelas[[#This Row],[ancho final]]*TablaOpTelas[[#This Row],[alto final]]</f>
        <v>8.9999999999999998E-4</v>
      </c>
      <c r="J102" s="312">
        <f>TablaOpTelas[[#This Row],[m2 unit]]*TablaOpTelas[[#This Row],['#]]</f>
        <v>0</v>
      </c>
      <c r="K102" s="314">
        <f>TablaOpTelas[[#This Row],[ANCHO]]*TablaOpTelas[[#This Row],[ALTO]]*$J$6</f>
        <v>0</v>
      </c>
      <c r="L102" s="315">
        <f>IF($J$7="CAJA TERMINADA",TablaOpTelas[[#This Row],[ANCHO]]+0.013,TablaOpTelas[[#This Row],[ANCHO]]+0.023)</f>
        <v>1.2999999999999999E-2</v>
      </c>
      <c r="M102" s="316">
        <f>IF($J$7="CAJA TERMINADA",TablaOpTelas[[#This Row],[ALTO]]+0.013,TablaOpTelas[[#This Row],[ALTO]]+0.023)</f>
        <v>1.2999999999999999E-2</v>
      </c>
      <c r="N102" s="433">
        <f>'Nota de venta'!L103</f>
        <v>0</v>
      </c>
      <c r="O102" s="417"/>
      <c r="P102" s="417"/>
      <c r="Q102" s="417"/>
      <c r="R102" s="417"/>
      <c r="S102" s="417"/>
      <c r="T102" s="417"/>
      <c r="U102" s="417"/>
      <c r="V102" s="417"/>
      <c r="W102" s="417"/>
      <c r="X102" s="417"/>
      <c r="Y102" s="417"/>
      <c r="Z102" s="417"/>
      <c r="AA102" s="417"/>
      <c r="AB102" s="417"/>
      <c r="AC102" s="417"/>
      <c r="AD102" s="417"/>
      <c r="AE102" s="417"/>
      <c r="AF102" s="417"/>
    </row>
    <row r="103" spans="1:32" s="119" customFormat="1" ht="48" customHeight="1">
      <c r="A103" s="417">
        <v>95</v>
      </c>
      <c r="B103" s="310">
        <f>'Nota de venta'!C104</f>
        <v>0</v>
      </c>
      <c r="C103" s="311">
        <f>'Nota de venta'!G104</f>
        <v>0</v>
      </c>
      <c r="D103" s="320">
        <f>'Nota de venta'!E104</f>
        <v>0</v>
      </c>
      <c r="E103" s="320">
        <f>'Nota de venta'!F104</f>
        <v>0</v>
      </c>
      <c r="F103" s="321">
        <v>1.5</v>
      </c>
      <c r="G103" s="312">
        <f>TablaOpTelas[[#This Row],[ANCHO]]+(TablaOpTelas[[#This Row],[exc cms x lado]]/100)*2</f>
        <v>0.03</v>
      </c>
      <c r="H103" s="312">
        <f>TablaOpTelas[[#This Row],[ALTO]]+(TablaOpTelas[[#This Row],[exc cms x lado]]/100)*2</f>
        <v>0.03</v>
      </c>
      <c r="I103" s="312">
        <f>TablaOpTelas[[#This Row],[ancho final]]*TablaOpTelas[[#This Row],[alto final]]</f>
        <v>8.9999999999999998E-4</v>
      </c>
      <c r="J103" s="312">
        <f>TablaOpTelas[[#This Row],[m2 unit]]*TablaOpTelas[[#This Row],['#]]</f>
        <v>0</v>
      </c>
      <c r="K103" s="314">
        <f>TablaOpTelas[[#This Row],[ANCHO]]*TablaOpTelas[[#This Row],[ALTO]]*$J$6</f>
        <v>0</v>
      </c>
      <c r="L103" s="315">
        <f>IF($J$7="CAJA TERMINADA",TablaOpTelas[[#This Row],[ANCHO]]+0.013,TablaOpTelas[[#This Row],[ANCHO]]+0.023)</f>
        <v>1.2999999999999999E-2</v>
      </c>
      <c r="M103" s="316">
        <f>IF($J$7="CAJA TERMINADA",TablaOpTelas[[#This Row],[ALTO]]+0.013,TablaOpTelas[[#This Row],[ALTO]]+0.023)</f>
        <v>1.2999999999999999E-2</v>
      </c>
      <c r="N103" s="433">
        <f>'Nota de venta'!L104</f>
        <v>0</v>
      </c>
      <c r="O103" s="417"/>
      <c r="P103" s="417"/>
      <c r="Q103" s="417"/>
      <c r="R103" s="417"/>
      <c r="S103" s="417"/>
      <c r="T103" s="417"/>
      <c r="U103" s="417"/>
      <c r="V103" s="417"/>
      <c r="W103" s="417"/>
      <c r="X103" s="417"/>
      <c r="Y103" s="417"/>
      <c r="Z103" s="417"/>
      <c r="AA103" s="417"/>
      <c r="AB103" s="417"/>
      <c r="AC103" s="417"/>
      <c r="AD103" s="417"/>
      <c r="AE103" s="417"/>
      <c r="AF103" s="417"/>
    </row>
    <row r="104" spans="1:32" s="119" customFormat="1" ht="48" customHeight="1">
      <c r="A104" s="417">
        <v>96</v>
      </c>
      <c r="B104" s="310">
        <f>'Nota de venta'!C105</f>
        <v>0</v>
      </c>
      <c r="C104" s="311">
        <f>'Nota de venta'!G105</f>
        <v>0</v>
      </c>
      <c r="D104" s="320">
        <f>'Nota de venta'!E105</f>
        <v>0</v>
      </c>
      <c r="E104" s="320">
        <f>'Nota de venta'!F105</f>
        <v>0</v>
      </c>
      <c r="F104" s="321">
        <v>1.5</v>
      </c>
      <c r="G104" s="312">
        <f>TablaOpTelas[[#This Row],[ANCHO]]+(TablaOpTelas[[#This Row],[exc cms x lado]]/100)*2</f>
        <v>0.03</v>
      </c>
      <c r="H104" s="312">
        <f>TablaOpTelas[[#This Row],[ALTO]]+(TablaOpTelas[[#This Row],[exc cms x lado]]/100)*2</f>
        <v>0.03</v>
      </c>
      <c r="I104" s="312">
        <f>TablaOpTelas[[#This Row],[ancho final]]*TablaOpTelas[[#This Row],[alto final]]</f>
        <v>8.9999999999999998E-4</v>
      </c>
      <c r="J104" s="312">
        <f>TablaOpTelas[[#This Row],[m2 unit]]*TablaOpTelas[[#This Row],['#]]</f>
        <v>0</v>
      </c>
      <c r="K104" s="314">
        <f>TablaOpTelas[[#This Row],[ANCHO]]*TablaOpTelas[[#This Row],[ALTO]]*$J$6</f>
        <v>0</v>
      </c>
      <c r="L104" s="315">
        <f>IF($J$7="CAJA TERMINADA",TablaOpTelas[[#This Row],[ANCHO]]+0.013,TablaOpTelas[[#This Row],[ANCHO]]+0.023)</f>
        <v>1.2999999999999999E-2</v>
      </c>
      <c r="M104" s="316">
        <f>IF($J$7="CAJA TERMINADA",TablaOpTelas[[#This Row],[ALTO]]+0.013,TablaOpTelas[[#This Row],[ALTO]]+0.023)</f>
        <v>1.2999999999999999E-2</v>
      </c>
      <c r="N104" s="433">
        <f>'Nota de venta'!L105</f>
        <v>0</v>
      </c>
      <c r="O104" s="417"/>
      <c r="P104" s="417"/>
      <c r="Q104" s="417"/>
      <c r="R104" s="417"/>
      <c r="S104" s="417"/>
      <c r="T104" s="417"/>
      <c r="U104" s="417"/>
      <c r="V104" s="417"/>
      <c r="W104" s="417"/>
      <c r="X104" s="417"/>
      <c r="Y104" s="417"/>
      <c r="Z104" s="417"/>
      <c r="AA104" s="417"/>
      <c r="AB104" s="417"/>
      <c r="AC104" s="417"/>
      <c r="AD104" s="417"/>
      <c r="AE104" s="417"/>
      <c r="AF104" s="417"/>
    </row>
    <row r="105" spans="1:32" s="119" customFormat="1" ht="48" customHeight="1">
      <c r="A105" s="417">
        <v>97</v>
      </c>
      <c r="B105" s="310">
        <f>'Nota de venta'!C106</f>
        <v>0</v>
      </c>
      <c r="C105" s="311">
        <f>'Nota de venta'!G106</f>
        <v>0</v>
      </c>
      <c r="D105" s="320">
        <f>'Nota de venta'!E106</f>
        <v>0</v>
      </c>
      <c r="E105" s="320">
        <f>'Nota de venta'!F106</f>
        <v>0</v>
      </c>
      <c r="F105" s="321">
        <v>1.5</v>
      </c>
      <c r="G105" s="312">
        <f>TablaOpTelas[[#This Row],[ANCHO]]+(TablaOpTelas[[#This Row],[exc cms x lado]]/100)*2</f>
        <v>0.03</v>
      </c>
      <c r="H105" s="312">
        <f>TablaOpTelas[[#This Row],[ALTO]]+(TablaOpTelas[[#This Row],[exc cms x lado]]/100)*2</f>
        <v>0.03</v>
      </c>
      <c r="I105" s="312">
        <f>TablaOpTelas[[#This Row],[ancho final]]*TablaOpTelas[[#This Row],[alto final]]</f>
        <v>8.9999999999999998E-4</v>
      </c>
      <c r="J105" s="312">
        <f>TablaOpTelas[[#This Row],[m2 unit]]*TablaOpTelas[[#This Row],['#]]</f>
        <v>0</v>
      </c>
      <c r="K105" s="314">
        <f>TablaOpTelas[[#This Row],[ANCHO]]*TablaOpTelas[[#This Row],[ALTO]]*$J$6</f>
        <v>0</v>
      </c>
      <c r="L105" s="315">
        <f>IF($J$7="CAJA TERMINADA",TablaOpTelas[[#This Row],[ANCHO]]+0.013,TablaOpTelas[[#This Row],[ANCHO]]+0.023)</f>
        <v>1.2999999999999999E-2</v>
      </c>
      <c r="M105" s="316">
        <f>IF($J$7="CAJA TERMINADA",TablaOpTelas[[#This Row],[ALTO]]+0.013,TablaOpTelas[[#This Row],[ALTO]]+0.023)</f>
        <v>1.2999999999999999E-2</v>
      </c>
      <c r="N105" s="433">
        <f>'Nota de venta'!L106</f>
        <v>0</v>
      </c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</row>
    <row r="106" spans="1:32" s="119" customFormat="1" ht="48" customHeight="1">
      <c r="A106" s="417">
        <v>98</v>
      </c>
      <c r="B106" s="310">
        <f>'Nota de venta'!C107</f>
        <v>0</v>
      </c>
      <c r="C106" s="311">
        <f>'Nota de venta'!G107</f>
        <v>0</v>
      </c>
      <c r="D106" s="320">
        <f>'Nota de venta'!E107</f>
        <v>0</v>
      </c>
      <c r="E106" s="320">
        <f>'Nota de venta'!F107</f>
        <v>0</v>
      </c>
      <c r="F106" s="321">
        <v>1.5</v>
      </c>
      <c r="G106" s="312">
        <f>TablaOpTelas[[#This Row],[ANCHO]]+(TablaOpTelas[[#This Row],[exc cms x lado]]/100)*2</f>
        <v>0.03</v>
      </c>
      <c r="H106" s="312">
        <f>TablaOpTelas[[#This Row],[ALTO]]+(TablaOpTelas[[#This Row],[exc cms x lado]]/100)*2</f>
        <v>0.03</v>
      </c>
      <c r="I106" s="312">
        <f>TablaOpTelas[[#This Row],[ancho final]]*TablaOpTelas[[#This Row],[alto final]]</f>
        <v>8.9999999999999998E-4</v>
      </c>
      <c r="J106" s="312">
        <f>TablaOpTelas[[#This Row],[m2 unit]]*TablaOpTelas[[#This Row],['#]]</f>
        <v>0</v>
      </c>
      <c r="K106" s="314">
        <f>TablaOpTelas[[#This Row],[ANCHO]]*TablaOpTelas[[#This Row],[ALTO]]*$J$6</f>
        <v>0</v>
      </c>
      <c r="L106" s="315">
        <f>IF($J$7="CAJA TERMINADA",TablaOpTelas[[#This Row],[ANCHO]]+0.013,TablaOpTelas[[#This Row],[ANCHO]]+0.023)</f>
        <v>1.2999999999999999E-2</v>
      </c>
      <c r="M106" s="316">
        <f>IF($J$7="CAJA TERMINADA",TablaOpTelas[[#This Row],[ALTO]]+0.013,TablaOpTelas[[#This Row],[ALTO]]+0.023)</f>
        <v>1.2999999999999999E-2</v>
      </c>
      <c r="N106" s="433">
        <f>'Nota de venta'!L107</f>
        <v>0</v>
      </c>
      <c r="O106" s="417"/>
      <c r="P106" s="417"/>
      <c r="Q106" s="417"/>
      <c r="R106" s="417"/>
      <c r="S106" s="417"/>
      <c r="T106" s="417"/>
      <c r="U106" s="417"/>
      <c r="V106" s="417"/>
      <c r="W106" s="417"/>
      <c r="X106" s="417"/>
      <c r="Y106" s="417"/>
      <c r="Z106" s="417"/>
      <c r="AA106" s="417"/>
      <c r="AB106" s="417"/>
      <c r="AC106" s="417"/>
      <c r="AD106" s="417"/>
      <c r="AE106" s="417"/>
      <c r="AF106" s="417"/>
    </row>
    <row r="107" spans="1:32" s="119" customFormat="1" ht="48" customHeight="1">
      <c r="A107" s="417">
        <v>99</v>
      </c>
      <c r="B107" s="310">
        <f>'Nota de venta'!C108</f>
        <v>0</v>
      </c>
      <c r="C107" s="311">
        <f>'Nota de venta'!G108</f>
        <v>0</v>
      </c>
      <c r="D107" s="320">
        <f>'Nota de venta'!E108</f>
        <v>0</v>
      </c>
      <c r="E107" s="320">
        <f>'Nota de venta'!F108</f>
        <v>0</v>
      </c>
      <c r="F107" s="321">
        <v>1.5</v>
      </c>
      <c r="G107" s="312">
        <f>TablaOpTelas[[#This Row],[ANCHO]]+(TablaOpTelas[[#This Row],[exc cms x lado]]/100)*2</f>
        <v>0.03</v>
      </c>
      <c r="H107" s="312">
        <f>TablaOpTelas[[#This Row],[ALTO]]+(TablaOpTelas[[#This Row],[exc cms x lado]]/100)*2</f>
        <v>0.03</v>
      </c>
      <c r="I107" s="312">
        <f>TablaOpTelas[[#This Row],[ancho final]]*TablaOpTelas[[#This Row],[alto final]]</f>
        <v>8.9999999999999998E-4</v>
      </c>
      <c r="J107" s="312">
        <f>TablaOpTelas[[#This Row],[m2 unit]]*TablaOpTelas[[#This Row],['#]]</f>
        <v>0</v>
      </c>
      <c r="K107" s="314">
        <f>TablaOpTelas[[#This Row],[ANCHO]]*TablaOpTelas[[#This Row],[ALTO]]*$J$6</f>
        <v>0</v>
      </c>
      <c r="L107" s="315">
        <f>IF($J$7="CAJA TERMINADA",TablaOpTelas[[#This Row],[ANCHO]]+0.013,TablaOpTelas[[#This Row],[ANCHO]]+0.023)</f>
        <v>1.2999999999999999E-2</v>
      </c>
      <c r="M107" s="316">
        <f>IF($J$7="CAJA TERMINADA",TablaOpTelas[[#This Row],[ALTO]]+0.013,TablaOpTelas[[#This Row],[ALTO]]+0.023)</f>
        <v>1.2999999999999999E-2</v>
      </c>
      <c r="N107" s="433">
        <f>'Nota de venta'!L108</f>
        <v>0</v>
      </c>
      <c r="O107" s="417"/>
      <c r="P107" s="417"/>
      <c r="Q107" s="417"/>
      <c r="R107" s="417"/>
      <c r="S107" s="417"/>
      <c r="T107" s="417"/>
      <c r="U107" s="417"/>
      <c r="V107" s="417"/>
      <c r="W107" s="417"/>
      <c r="X107" s="417"/>
      <c r="Y107" s="417"/>
      <c r="Z107" s="417"/>
      <c r="AA107" s="417"/>
      <c r="AB107" s="417"/>
      <c r="AC107" s="417"/>
      <c r="AD107" s="417"/>
      <c r="AE107" s="417"/>
      <c r="AF107" s="417"/>
    </row>
    <row r="108" spans="1:32" ht="48" customHeight="1">
      <c r="A108" s="417">
        <v>100</v>
      </c>
      <c r="B108" s="310">
        <f>'Nota de venta'!C110</f>
        <v>0</v>
      </c>
      <c r="C108" s="311">
        <f>'Nota de venta'!G109</f>
        <v>0</v>
      </c>
      <c r="D108" s="320">
        <f>'Nota de venta'!E110</f>
        <v>0</v>
      </c>
      <c r="E108" s="320">
        <f>'Nota de venta'!F110</f>
        <v>0</v>
      </c>
      <c r="F108" s="321">
        <v>1.5</v>
      </c>
      <c r="G108" s="312">
        <f>TablaOpTelas[[#This Row],[ANCHO]]+(TablaOpTelas[[#This Row],[exc cms x lado]]/100)*2</f>
        <v>0.03</v>
      </c>
      <c r="H108" s="312">
        <f>TablaOpTelas[[#This Row],[ALTO]]+(TablaOpTelas[[#This Row],[exc cms x lado]]/100)*2</f>
        <v>0.03</v>
      </c>
      <c r="I108" s="312">
        <f>TablaOpTelas[[#This Row],[ancho final]]*TablaOpTelas[[#This Row],[alto final]]</f>
        <v>8.9999999999999998E-4</v>
      </c>
      <c r="J108" s="312">
        <f>TablaOpTelas[[#This Row],[m2 unit]]*TablaOpTelas[[#This Row],['#]]</f>
        <v>0</v>
      </c>
      <c r="K108" s="314">
        <f>TablaOpTelas[[#This Row],[ANCHO]]*TablaOpTelas[[#This Row],[ALTO]]*$J$6</f>
        <v>0</v>
      </c>
      <c r="L108" s="315">
        <f>IF($J$7="CAJA TERMINADA",TablaOpTelas[[#This Row],[ANCHO]]+0.013,TablaOpTelas[[#This Row],[ANCHO]]+0.023)</f>
        <v>1.2999999999999999E-2</v>
      </c>
      <c r="M108" s="316">
        <f>IF($J$7="CAJA TERMINADA",TablaOpTelas[[#This Row],[ALTO]]+0.013,TablaOpTelas[[#This Row],[ALTO]]+0.023)</f>
        <v>1.2999999999999999E-2</v>
      </c>
      <c r="N108" s="433">
        <f>'Nota de venta'!L110</f>
        <v>0</v>
      </c>
      <c r="O108" s="323"/>
      <c r="P108" s="323"/>
      <c r="Q108" s="323"/>
      <c r="R108" s="323"/>
      <c r="S108" s="323"/>
      <c r="T108" s="323"/>
      <c r="U108" s="323"/>
      <c r="V108" s="323"/>
      <c r="W108" s="323"/>
      <c r="X108" s="323"/>
      <c r="Y108" s="323"/>
      <c r="Z108" s="323"/>
      <c r="AA108" s="323"/>
      <c r="AB108" s="323"/>
      <c r="AC108" s="323"/>
      <c r="AD108" s="323"/>
      <c r="AE108" s="323"/>
      <c r="AF108" s="323"/>
    </row>
    <row r="109" spans="1:32" s="323" customFormat="1" ht="27.3" customHeight="1" thickBot="1">
      <c r="A109" s="119"/>
      <c r="B109" s="158"/>
      <c r="C109" s="317">
        <f>SUM(TablaOpTelas['#])</f>
        <v>0</v>
      </c>
      <c r="D109" s="238"/>
      <c r="E109" s="237"/>
      <c r="F109" s="403"/>
      <c r="G109" s="404"/>
      <c r="H109" s="404"/>
      <c r="I109" s="404"/>
      <c r="J109" s="405">
        <f>SUM(TablaOpTelas[m2 total])</f>
        <v>0</v>
      </c>
      <c r="K109" s="406"/>
      <c r="L109" s="407"/>
      <c r="M109" s="407"/>
      <c r="P109" s="408"/>
    </row>
    <row r="110" spans="1:32" s="323" customFormat="1" ht="27.3" customHeight="1" thickBot="1">
      <c r="A110" s="119"/>
      <c r="B110" s="158" t="s">
        <v>230</v>
      </c>
      <c r="C110" s="234"/>
      <c r="D110" s="235"/>
      <c r="E110" s="236"/>
      <c r="F110" s="409"/>
      <c r="G110" s="403"/>
      <c r="H110" s="410"/>
      <c r="I110" s="411"/>
      <c r="K110" s="410"/>
      <c r="L110" s="412"/>
      <c r="Q110" s="408"/>
    </row>
    <row r="111" spans="1:32" s="323" customFormat="1" ht="27.3" customHeight="1" thickBot="1">
      <c r="A111" s="119"/>
      <c r="B111"/>
      <c r="Q111" s="408"/>
    </row>
    <row r="112" spans="1:32" s="323" customFormat="1" ht="45" customHeight="1" thickBot="1">
      <c r="A112"/>
      <c r="B112" s="158" t="s">
        <v>269</v>
      </c>
      <c r="C112" s="561"/>
      <c r="D112" s="562"/>
      <c r="E112" s="563"/>
      <c r="F112" s="413"/>
      <c r="G112" s="413"/>
      <c r="H112" s="414"/>
      <c r="I112" s="415"/>
      <c r="J112" s="415"/>
      <c r="K112" s="416"/>
      <c r="L112" s="553"/>
      <c r="M112" s="554"/>
    </row>
    <row r="113" spans="2:20" s="323" customFormat="1" ht="19.05" customHeight="1"/>
    <row r="114" spans="2:20" ht="24" customHeight="1">
      <c r="B114" t="s">
        <v>400</v>
      </c>
      <c r="C114" t="e">
        <f>J109/'Nota de venta'!D10</f>
        <v>#VALUE!</v>
      </c>
    </row>
    <row r="115" spans="2:20" ht="32" customHeight="1"/>
    <row r="116" spans="2:20" ht="52.05" customHeight="1"/>
    <row r="117" spans="2:20" ht="111" customHeight="1"/>
    <row r="118" spans="2:20" ht="111" customHeight="1"/>
    <row r="119" spans="2:20" ht="111" customHeight="1"/>
    <row r="120" spans="2:20" ht="111" customHeight="1"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</row>
    <row r="121" spans="2:20" ht="111" customHeight="1"/>
    <row r="122" spans="2:20" s="119" customFormat="1" ht="111" hidden="1" customHeight="1">
      <c r="B122"/>
      <c r="C122"/>
      <c r="D122"/>
      <c r="E122"/>
      <c r="F122"/>
      <c r="G122"/>
      <c r="H122"/>
      <c r="I122"/>
      <c r="J122"/>
      <c r="K122"/>
      <c r="L122"/>
      <c r="M122"/>
      <c r="P122" s="120"/>
      <c r="Q122" s="120"/>
      <c r="R122" s="120"/>
      <c r="S122" s="120"/>
      <c r="T122" s="120"/>
    </row>
    <row r="123" spans="2:20" ht="111" hidden="1" customHeight="1"/>
    <row r="124" spans="2:20" ht="111" hidden="1" customHeight="1"/>
    <row r="125" spans="2:20" ht="111" hidden="1" customHeight="1"/>
    <row r="126" spans="2:20" ht="111" hidden="1" customHeight="1"/>
    <row r="127" spans="2:20" ht="59" hidden="1" customHeight="1">
      <c r="B127" s="155"/>
      <c r="C127" s="161"/>
      <c r="D127" s="160"/>
      <c r="E127" s="155"/>
      <c r="F127" s="162"/>
      <c r="G127" s="557"/>
      <c r="H127" s="558"/>
      <c r="I127" s="160"/>
      <c r="K127" s="161"/>
    </row>
    <row r="128" spans="2:20" ht="24" hidden="1" customHeight="1">
      <c r="B128" s="159"/>
      <c r="C128" s="161"/>
      <c r="D128" s="160"/>
      <c r="E128" s="160"/>
      <c r="F128" s="162"/>
      <c r="G128" s="156"/>
      <c r="H128" s="160"/>
      <c r="I128" s="160"/>
      <c r="K128" s="161"/>
    </row>
    <row r="129" spans="2:15" ht="15" hidden="1" customHeight="1">
      <c r="B129" s="158"/>
      <c r="C129" s="161"/>
    </row>
    <row r="130" spans="2:15" ht="21" hidden="1">
      <c r="B130" s="155"/>
      <c r="C130" s="161"/>
      <c r="D130" s="119"/>
      <c r="E130" s="163"/>
      <c r="F130" s="161"/>
      <c r="G130" s="119"/>
      <c r="H130" s="163"/>
      <c r="I130" s="161"/>
      <c r="J130" s="119"/>
      <c r="K130" s="119"/>
      <c r="L130" s="119"/>
      <c r="M130" s="120"/>
    </row>
    <row r="131" spans="2:15" ht="33" hidden="1" customHeight="1"/>
    <row r="132" spans="2:15" ht="15.4" hidden="1">
      <c r="N132" s="120"/>
      <c r="O132" s="120"/>
    </row>
  </sheetData>
  <mergeCells count="14">
    <mergeCell ref="L112:M112"/>
    <mergeCell ref="I1:I2"/>
    <mergeCell ref="B6:B7"/>
    <mergeCell ref="G127:H127"/>
    <mergeCell ref="G4:H4"/>
    <mergeCell ref="C112:E112"/>
    <mergeCell ref="C6:F7"/>
    <mergeCell ref="J6:K6"/>
    <mergeCell ref="J3:K3"/>
    <mergeCell ref="J4:K4"/>
    <mergeCell ref="D2:G3"/>
    <mergeCell ref="J7:L7"/>
    <mergeCell ref="C5:F5"/>
    <mergeCell ref="J1:K2"/>
  </mergeCells>
  <dataValidations disablePrompts="1" count="1">
    <dataValidation type="list" allowBlank="1" showInputMessage="1" showErrorMessage="1" sqref="J7:L7" xr:uid="{606BBDA1-A2CB-954A-A8CE-F03CBDADDE9C}">
      <formula1>$Z$1:$Z$6</formula1>
    </dataValidation>
  </dataValidations>
  <printOptions horizontalCentered="1" verticalCentered="1"/>
  <pageMargins left="0.45" right="0.45" top="0.5" bottom="0.25" header="0.3" footer="0.3"/>
  <pageSetup scale="59" fitToHeight="0" orientation="landscape" horizontalDpi="4294967292" verticalDpi="4294967292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pageSetUpPr fitToPage="1"/>
  </sheetPr>
  <dimension ref="A1:AJ47"/>
  <sheetViews>
    <sheetView topLeftCell="A24" zoomScaleSheetLayoutView="85" workbookViewId="0"/>
  </sheetViews>
  <sheetFormatPr baseColWidth="10" defaultColWidth="10.6640625" defaultRowHeight="14.25"/>
  <cols>
    <col min="1" max="1" width="16.33203125" style="10" customWidth="1"/>
    <col min="2" max="2" width="21.33203125" style="10" customWidth="1"/>
    <col min="3" max="4" width="8.6640625" style="10" customWidth="1"/>
    <col min="5" max="6" width="10.6640625" style="10" customWidth="1"/>
    <col min="7" max="7" width="13.33203125" style="10" bestFit="1" customWidth="1"/>
    <col min="8" max="8" width="21.33203125" style="10" customWidth="1"/>
    <col min="9" max="20" width="11.33203125" style="10" customWidth="1"/>
    <col min="21" max="21" width="7.1328125" style="12" bestFit="1" customWidth="1"/>
    <col min="22" max="22" width="3.1328125" style="12" bestFit="1" customWidth="1"/>
    <col min="23" max="23" width="8.1328125" style="12" bestFit="1" customWidth="1"/>
    <col min="24" max="24" width="41.1328125" style="12" customWidth="1"/>
    <col min="25" max="25" width="10.33203125" style="12" bestFit="1" customWidth="1"/>
    <col min="26" max="27" width="8.6640625" style="12" bestFit="1" customWidth="1"/>
    <col min="28" max="28" width="9.33203125" style="12" bestFit="1" customWidth="1"/>
    <col min="29" max="30" width="8.6640625" style="12" bestFit="1" customWidth="1"/>
    <col min="31" max="31" width="9.33203125" style="12" bestFit="1" customWidth="1"/>
    <col min="32" max="32" width="8.6640625" style="12" bestFit="1" customWidth="1"/>
    <col min="33" max="33" width="9.33203125" style="12" bestFit="1" customWidth="1"/>
    <col min="34" max="16384" width="10.6640625" style="10"/>
  </cols>
  <sheetData>
    <row r="1" spans="1:36" ht="40.5" customHeight="1">
      <c r="C1" s="607" t="s">
        <v>40</v>
      </c>
      <c r="D1" s="607"/>
      <c r="E1" s="607"/>
      <c r="F1" s="607"/>
      <c r="G1" s="11" t="s">
        <v>0</v>
      </c>
      <c r="H1" s="43"/>
      <c r="Z1" s="603" t="s">
        <v>1</v>
      </c>
      <c r="AA1" s="604"/>
      <c r="AB1" s="605"/>
      <c r="AC1" s="603" t="s">
        <v>93</v>
      </c>
      <c r="AD1" s="604"/>
      <c r="AE1" s="605"/>
      <c r="AF1" s="603" t="s">
        <v>56</v>
      </c>
      <c r="AG1" s="605"/>
    </row>
    <row r="2" spans="1:36" ht="30" customHeight="1">
      <c r="C2" s="35"/>
      <c r="D2" s="35"/>
      <c r="E2" s="35"/>
      <c r="F2" s="35"/>
      <c r="U2" s="12" t="s">
        <v>57</v>
      </c>
      <c r="V2" s="12" t="s">
        <v>53</v>
      </c>
      <c r="W2" s="12" t="s">
        <v>70</v>
      </c>
      <c r="X2" s="13" t="s">
        <v>61</v>
      </c>
      <c r="Y2" s="14" t="s">
        <v>73</v>
      </c>
      <c r="Z2" s="15" t="s">
        <v>74</v>
      </c>
      <c r="AA2" s="13" t="s">
        <v>106</v>
      </c>
      <c r="AB2" s="16" t="s">
        <v>37</v>
      </c>
      <c r="AC2" s="15" t="s">
        <v>74</v>
      </c>
      <c r="AD2" s="13" t="s">
        <v>106</v>
      </c>
      <c r="AE2" s="16" t="s">
        <v>37</v>
      </c>
      <c r="AF2" s="15" t="s">
        <v>50</v>
      </c>
      <c r="AG2" s="16" t="s">
        <v>12</v>
      </c>
      <c r="AH2" s="12" t="s">
        <v>75</v>
      </c>
      <c r="AI2" s="12" t="s">
        <v>114</v>
      </c>
      <c r="AJ2" s="12" t="s">
        <v>31</v>
      </c>
    </row>
    <row r="3" spans="1:36">
      <c r="A3" s="10" t="s">
        <v>81</v>
      </c>
      <c r="B3" s="38"/>
      <c r="C3" s="601" t="s">
        <v>59</v>
      </c>
      <c r="D3" s="602"/>
      <c r="E3" s="610"/>
      <c r="F3" s="610"/>
      <c r="G3" s="10" t="s">
        <v>80</v>
      </c>
      <c r="H3" s="39"/>
      <c r="U3" s="12" t="s">
        <v>58</v>
      </c>
      <c r="V3" s="12" t="s">
        <v>54</v>
      </c>
      <c r="W3" s="12" t="s">
        <v>93</v>
      </c>
      <c r="X3" s="13" t="s">
        <v>22</v>
      </c>
      <c r="Y3" s="17">
        <v>35000</v>
      </c>
      <c r="Z3" s="18">
        <v>14000</v>
      </c>
      <c r="AA3" s="19">
        <v>12500</v>
      </c>
      <c r="AB3" s="20">
        <v>10500</v>
      </c>
      <c r="AC3" s="18">
        <v>11000</v>
      </c>
      <c r="AD3" s="19">
        <v>9500</v>
      </c>
      <c r="AE3" s="20">
        <v>8000</v>
      </c>
      <c r="AF3" s="18">
        <v>9500</v>
      </c>
      <c r="AG3" s="20">
        <v>8000</v>
      </c>
      <c r="AH3" s="12" t="s">
        <v>113</v>
      </c>
      <c r="AI3" s="12" t="s">
        <v>104</v>
      </c>
      <c r="AJ3" s="12" t="s">
        <v>32</v>
      </c>
    </row>
    <row r="4" spans="1:36">
      <c r="C4" s="21"/>
      <c r="D4" s="21"/>
      <c r="E4" s="21"/>
      <c r="F4" s="21"/>
      <c r="U4" s="12" t="s">
        <v>95</v>
      </c>
      <c r="W4" s="12" t="s">
        <v>56</v>
      </c>
      <c r="X4" s="13" t="s">
        <v>15</v>
      </c>
      <c r="Y4" s="17">
        <v>36000</v>
      </c>
      <c r="Z4" s="18">
        <v>15000</v>
      </c>
      <c r="AA4" s="19">
        <v>13000</v>
      </c>
      <c r="AB4" s="20">
        <v>11500</v>
      </c>
      <c r="AC4" s="18">
        <v>11500</v>
      </c>
      <c r="AD4" s="19">
        <v>10000</v>
      </c>
      <c r="AE4" s="20">
        <v>9000</v>
      </c>
      <c r="AF4" s="18">
        <v>10000</v>
      </c>
      <c r="AG4" s="20">
        <v>9000</v>
      </c>
      <c r="AH4" s="12" t="s">
        <v>105</v>
      </c>
      <c r="AI4" s="12"/>
      <c r="AJ4" s="12"/>
    </row>
    <row r="5" spans="1:36">
      <c r="A5" s="587" t="s">
        <v>45</v>
      </c>
      <c r="B5" s="587"/>
      <c r="C5" s="587"/>
      <c r="D5" s="587"/>
      <c r="E5" s="587"/>
      <c r="F5" s="587"/>
      <c r="G5" s="587"/>
      <c r="H5" s="587"/>
      <c r="U5" s="12" t="s">
        <v>64</v>
      </c>
      <c r="X5" s="13" t="s">
        <v>3</v>
      </c>
      <c r="Y5" s="17">
        <v>36000</v>
      </c>
      <c r="Z5" s="18">
        <v>15000</v>
      </c>
      <c r="AA5" s="19">
        <v>13000</v>
      </c>
      <c r="AB5" s="20">
        <v>11500</v>
      </c>
      <c r="AC5" s="18">
        <v>11500</v>
      </c>
      <c r="AD5" s="19">
        <v>10000</v>
      </c>
      <c r="AE5" s="20">
        <v>9000</v>
      </c>
      <c r="AF5" s="18">
        <v>10000</v>
      </c>
      <c r="AG5" s="20">
        <v>9000</v>
      </c>
      <c r="AH5" s="12" t="s">
        <v>100</v>
      </c>
      <c r="AI5" s="12"/>
      <c r="AJ5" s="12"/>
    </row>
    <row r="6" spans="1:36" ht="18.75" customHeight="1">
      <c r="A6" s="21" t="s">
        <v>46</v>
      </c>
      <c r="B6" s="40"/>
      <c r="C6" s="601" t="s">
        <v>67</v>
      </c>
      <c r="D6" s="602"/>
      <c r="E6" s="609"/>
      <c r="F6" s="609"/>
      <c r="G6" s="10" t="s">
        <v>68</v>
      </c>
      <c r="H6" s="40"/>
      <c r="U6" s="10"/>
      <c r="V6" s="10"/>
      <c r="W6" s="10"/>
      <c r="X6" s="13" t="s">
        <v>82</v>
      </c>
      <c r="Y6" s="17">
        <v>40000</v>
      </c>
      <c r="Z6" s="18">
        <v>15500</v>
      </c>
      <c r="AA6" s="19">
        <v>13500</v>
      </c>
      <c r="AB6" s="20">
        <v>12000</v>
      </c>
      <c r="AC6" s="18">
        <v>12000</v>
      </c>
      <c r="AD6" s="19">
        <v>11000</v>
      </c>
      <c r="AE6" s="20">
        <v>10000</v>
      </c>
      <c r="AF6" s="18">
        <v>11000</v>
      </c>
      <c r="AG6" s="20">
        <v>10000</v>
      </c>
      <c r="AH6" s="12" t="s">
        <v>96</v>
      </c>
      <c r="AI6" s="12"/>
      <c r="AJ6" s="12"/>
    </row>
    <row r="7" spans="1:36" ht="18.75" customHeight="1">
      <c r="A7" s="21" t="s">
        <v>90</v>
      </c>
      <c r="B7" s="41"/>
      <c r="C7" s="601" t="s">
        <v>55</v>
      </c>
      <c r="D7" s="602"/>
      <c r="E7" s="608"/>
      <c r="F7" s="608"/>
      <c r="G7" s="10" t="s">
        <v>29</v>
      </c>
      <c r="H7" s="41"/>
      <c r="X7" s="13" t="s">
        <v>65</v>
      </c>
      <c r="Y7" s="17">
        <v>40000</v>
      </c>
      <c r="Z7" s="18">
        <v>16000</v>
      </c>
      <c r="AA7" s="19">
        <v>14000</v>
      </c>
      <c r="AB7" s="20">
        <v>12500</v>
      </c>
      <c r="AC7" s="18">
        <v>12500</v>
      </c>
      <c r="AD7" s="19">
        <v>11500</v>
      </c>
      <c r="AE7" s="20">
        <v>10500</v>
      </c>
      <c r="AF7" s="18">
        <v>11500</v>
      </c>
      <c r="AG7" s="20">
        <v>10500</v>
      </c>
      <c r="AH7" s="12" t="s">
        <v>64</v>
      </c>
      <c r="AI7" s="12"/>
      <c r="AJ7" s="12"/>
    </row>
    <row r="8" spans="1:36" ht="18.75" customHeight="1">
      <c r="A8" s="21" t="s">
        <v>48</v>
      </c>
      <c r="B8" s="41"/>
      <c r="C8" s="601" t="s">
        <v>49</v>
      </c>
      <c r="D8" s="602"/>
      <c r="E8" s="608"/>
      <c r="F8" s="608"/>
      <c r="G8" s="10" t="s">
        <v>108</v>
      </c>
      <c r="H8" s="42"/>
      <c r="X8" s="13" t="s">
        <v>20</v>
      </c>
      <c r="Y8" s="17">
        <v>40000</v>
      </c>
      <c r="Z8" s="18">
        <v>16500</v>
      </c>
      <c r="AA8" s="19">
        <v>14500</v>
      </c>
      <c r="AB8" s="20">
        <v>13000</v>
      </c>
      <c r="AC8" s="18">
        <v>13000</v>
      </c>
      <c r="AD8" s="19">
        <v>12000</v>
      </c>
      <c r="AE8" s="20">
        <v>11000</v>
      </c>
      <c r="AF8" s="18">
        <v>12000</v>
      </c>
      <c r="AG8" s="20">
        <v>11000</v>
      </c>
    </row>
    <row r="9" spans="1:36" ht="18.75" customHeight="1" thickBot="1">
      <c r="A9" s="21" t="s">
        <v>76</v>
      </c>
      <c r="B9" s="41"/>
      <c r="C9" s="601" t="s">
        <v>77</v>
      </c>
      <c r="D9" s="602"/>
      <c r="E9" s="608"/>
      <c r="F9" s="608"/>
      <c r="G9" s="10" t="s">
        <v>5</v>
      </c>
      <c r="H9" s="41"/>
      <c r="X9" s="13" t="s">
        <v>89</v>
      </c>
      <c r="Y9" s="17">
        <v>45000</v>
      </c>
      <c r="Z9" s="22">
        <v>17000</v>
      </c>
      <c r="AA9" s="23">
        <v>15000</v>
      </c>
      <c r="AB9" s="24">
        <v>14000</v>
      </c>
      <c r="AC9" s="22">
        <v>14000</v>
      </c>
      <c r="AD9" s="23">
        <v>13000</v>
      </c>
      <c r="AE9" s="24">
        <v>12000</v>
      </c>
      <c r="AF9" s="22">
        <v>13000</v>
      </c>
      <c r="AG9" s="24">
        <v>12000</v>
      </c>
    </row>
    <row r="10" spans="1:36">
      <c r="C10" s="21"/>
      <c r="D10" s="21"/>
      <c r="E10" s="21"/>
      <c r="F10" s="21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6">
      <c r="A11" s="587" t="s">
        <v>98</v>
      </c>
      <c r="B11" s="587"/>
      <c r="C11" s="587"/>
      <c r="D11" s="587"/>
      <c r="E11" s="587"/>
      <c r="F11" s="587"/>
      <c r="G11" s="587"/>
      <c r="H11" s="587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6" ht="18.75" customHeight="1">
      <c r="A12" s="36"/>
      <c r="B12" s="10" t="s">
        <v>26</v>
      </c>
      <c r="C12" s="585"/>
      <c r="D12" s="585"/>
      <c r="E12" s="585"/>
      <c r="F12" s="585"/>
      <c r="G12" s="585"/>
      <c r="H12" s="585"/>
    </row>
    <row r="13" spans="1:36">
      <c r="B13" s="25"/>
      <c r="C13" s="25"/>
      <c r="D13" s="25"/>
      <c r="E13" s="25"/>
      <c r="F13" s="25"/>
      <c r="G13" s="25"/>
      <c r="H13" s="25"/>
    </row>
    <row r="14" spans="1:36">
      <c r="A14" s="587" t="s">
        <v>69</v>
      </c>
      <c r="B14" s="587"/>
      <c r="C14" s="587"/>
      <c r="D14" s="587"/>
      <c r="E14" s="587"/>
      <c r="F14" s="587"/>
      <c r="G14" s="587"/>
      <c r="H14" s="587"/>
    </row>
    <row r="15" spans="1:36" ht="18.75" customHeight="1">
      <c r="A15" s="10" t="s">
        <v>62</v>
      </c>
      <c r="B15" s="37"/>
      <c r="C15" s="601" t="s">
        <v>17</v>
      </c>
      <c r="D15" s="602"/>
      <c r="E15" s="583"/>
      <c r="F15" s="584"/>
      <c r="G15" s="584"/>
      <c r="H15" s="606"/>
    </row>
    <row r="16" spans="1:36" ht="18.75" customHeight="1">
      <c r="A16" s="10" t="s">
        <v>26</v>
      </c>
      <c r="B16" s="583"/>
      <c r="C16" s="584"/>
      <c r="D16" s="584"/>
      <c r="E16" s="584"/>
      <c r="F16" s="584"/>
      <c r="G16" s="584"/>
      <c r="H16" s="606"/>
      <c r="X16" s="26"/>
    </row>
    <row r="17" spans="1:24" ht="15" customHeight="1">
      <c r="B17" s="25"/>
      <c r="C17" s="25"/>
      <c r="D17" s="25"/>
      <c r="E17" s="25"/>
      <c r="F17" s="25"/>
      <c r="G17" s="25"/>
      <c r="H17" s="25"/>
      <c r="X17" s="26"/>
    </row>
    <row r="18" spans="1:24">
      <c r="A18" s="587" t="s">
        <v>51</v>
      </c>
      <c r="B18" s="587"/>
      <c r="C18" s="587"/>
      <c r="D18" s="587"/>
      <c r="E18" s="587"/>
      <c r="F18" s="587"/>
      <c r="G18" s="587"/>
      <c r="H18" s="587"/>
    </row>
    <row r="19" spans="1:24" ht="18.75" customHeight="1">
      <c r="A19" s="10" t="s">
        <v>41</v>
      </c>
      <c r="B19" s="33"/>
      <c r="C19" s="27" t="s">
        <v>52</v>
      </c>
      <c r="D19" s="33"/>
      <c r="E19" s="10" t="s">
        <v>103</v>
      </c>
      <c r="F19" s="53"/>
      <c r="G19" s="10" t="s">
        <v>88</v>
      </c>
      <c r="H19" s="33"/>
    </row>
    <row r="21" spans="1:24">
      <c r="A21" s="587" t="s">
        <v>11</v>
      </c>
      <c r="B21" s="587"/>
      <c r="C21" s="587"/>
      <c r="D21" s="587"/>
      <c r="E21" s="587"/>
      <c r="F21" s="587"/>
      <c r="G21" s="587"/>
      <c r="H21" s="587"/>
    </row>
    <row r="22" spans="1:24">
      <c r="A22" s="25" t="s">
        <v>99</v>
      </c>
      <c r="B22" s="25" t="s">
        <v>61</v>
      </c>
      <c r="C22" s="25" t="s">
        <v>87</v>
      </c>
      <c r="D22" s="25" t="s">
        <v>27</v>
      </c>
      <c r="E22" s="25" t="s">
        <v>6</v>
      </c>
      <c r="F22" s="25" t="s">
        <v>28</v>
      </c>
      <c r="G22" s="25" t="s">
        <v>42</v>
      </c>
      <c r="H22" s="25" t="s">
        <v>91</v>
      </c>
    </row>
    <row r="23" spans="1:24" ht="18.75" customHeight="1">
      <c r="A23" s="25">
        <v>1</v>
      </c>
      <c r="B23" s="43"/>
      <c r="C23" s="44"/>
      <c r="D23" s="44"/>
      <c r="E23" s="45"/>
      <c r="F23" s="45" t="str">
        <f t="shared" ref="F23:F28" si="0">IF(LEN(C23)=0,"",ROUNDUP(E23*D23*C23,0))</f>
        <v/>
      </c>
      <c r="G23" s="46" t="str">
        <f t="shared" ref="G23:G28" si="1">IF(LEN(B23)=0,"",IF($H$9=$W$2,IF(B23=$X$3,IF(F23&lt;51,$Z$3,IF(F23&gt;100,$AB$3,$AA$3)),IF(B23=$X$4,IF(F23&lt;51,$Z$4,IF(F23&gt;100,$AB$4,$AA$4)),IF(B23=$X$5,IF(F23&lt;51,$Z$5,IF(F23&gt;100,$AB$5,$AA$5)),IF(B23=$X$6,IF(F23&lt;51,$Z$6,IF(F23&gt;100,$AB$6,$AA$6)),IF(B23=$X$7,IF(F23&lt;51,$Z$7,IF(F23&gt;100,$AB$7,$AA$7)),IF(B23=$X$8,IF(F23&lt;51,$Z$8,IF(F23&gt;100,$AB$8,$AA$8)),IF(B23=$X$9,IF(F23&lt;51,$Z$9,IF(F23&gt;100,$AB$9,$AA$9))))))))),IF($H$9=$W$3,IF(B23=$X$3,IF(F23&lt;51,$AC$3,IF(F23&gt;100,$AE$3,$AD$3)),IF(B23=$X$4,IF(F23&lt;51,$AC$4,IF(F23&gt;100,$AE$4,$AD$4)),IF(B23=$X$5,IF(F23&lt;51,$AC$5,IF(F23&gt;100,$AE$5,$AD$5)),IF(B23=$X$6,IF(F23&lt;51,$AC$6,IF(F23&gt;100,$AE$6,$AD$6)),IF(B23=$X$7,IF(F23&lt;51,$AC$7,IF(F23&gt;100,$AE$7,$AD$7)),IF(B23=$X$8,IF(F23&lt;51,$AC$8,IF(F23&gt;100,$AE$8,$AD$8)),IF(B23=$X$9,IF(F23&lt;51,$AC$9,IF(F23&gt;100,$AE$9,$AD$9))))))))),IF($H$9=$W$4,IF(B23=$X$3,IF(F23&lt;101,$AF$3,$AG$3),IF(B23=$X$4,IF(F23&lt;101,$AF$4,$AG$4),IF(B23=$X$5,IF(F23&lt;101,$AF$5,$AG$5),IF(B23=$X$6,IF(F23&lt;101,$AF$6,$AG$6),IF(B23=$X$7,IF(F23&lt;101,$AF$7,$AG$7),IF(B23=$X$8,IF(F23&lt;101,$AF$8,$AG$8),IF(B23=$X$9,IF(F23&lt;101,$AF$9,$AG$9))))))))))))</f>
        <v/>
      </c>
      <c r="H23" s="28" t="str">
        <f t="shared" ref="H23:H28" si="2">IF(LEN(D23)=0,"",IF(B23=$X$3,IF(F23*G23&lt;$Y$3,$Y$3,F23*G23),IF(B23=$X$4,IF(F23*G23&lt;$Y$4,$Y$4,F23*G23),IF(B23=$X$5,IF(F23*G23&lt;$Y$5,$Y$5,F23*G23),IF(B23=$X$6,IF(F23*G23&lt;$Y$6,$Y$6,F23*G23),IF(B23=$X$7,IF(F23*G23&lt;$Y$7,$Y$7,F23*G23),IF(B23=$X$8,IF(F23*G23&lt;$Y$8,$Y$8,F23*G23),IF(B23=$X$9,IF(F23*G23&lt;$Y$9,$Y$9,F23*G23)))))))))</f>
        <v/>
      </c>
    </row>
    <row r="24" spans="1:24" ht="18.75" customHeight="1">
      <c r="A24" s="25">
        <v>2</v>
      </c>
      <c r="B24" s="43"/>
      <c r="C24" s="44"/>
      <c r="D24" s="44"/>
      <c r="E24" s="45"/>
      <c r="F24" s="45" t="str">
        <f t="shared" si="0"/>
        <v/>
      </c>
      <c r="G24" s="46" t="str">
        <f t="shared" si="1"/>
        <v/>
      </c>
      <c r="H24" s="28" t="str">
        <f t="shared" si="2"/>
        <v/>
      </c>
    </row>
    <row r="25" spans="1:24" ht="18.75" customHeight="1">
      <c r="A25" s="25">
        <v>3</v>
      </c>
      <c r="B25" s="43"/>
      <c r="C25" s="44"/>
      <c r="D25" s="44"/>
      <c r="E25" s="45"/>
      <c r="F25" s="45" t="str">
        <f t="shared" si="0"/>
        <v/>
      </c>
      <c r="G25" s="46" t="str">
        <f t="shared" si="1"/>
        <v/>
      </c>
      <c r="H25" s="28" t="str">
        <f t="shared" si="2"/>
        <v/>
      </c>
    </row>
    <row r="26" spans="1:24" ht="18.75" customHeight="1">
      <c r="A26" s="25">
        <v>4</v>
      </c>
      <c r="B26" s="43"/>
      <c r="C26" s="44"/>
      <c r="D26" s="44"/>
      <c r="E26" s="45"/>
      <c r="F26" s="45" t="str">
        <f t="shared" si="0"/>
        <v/>
      </c>
      <c r="G26" s="46" t="str">
        <f t="shared" si="1"/>
        <v/>
      </c>
      <c r="H26" s="28" t="str">
        <f t="shared" si="2"/>
        <v/>
      </c>
    </row>
    <row r="27" spans="1:24" ht="18.75" customHeight="1">
      <c r="A27" s="25">
        <v>5</v>
      </c>
      <c r="B27" s="43"/>
      <c r="C27" s="44"/>
      <c r="D27" s="44"/>
      <c r="E27" s="45"/>
      <c r="F27" s="45" t="str">
        <f t="shared" si="0"/>
        <v/>
      </c>
      <c r="G27" s="46" t="str">
        <f t="shared" si="1"/>
        <v/>
      </c>
      <c r="H27" s="28" t="str">
        <f t="shared" si="2"/>
        <v/>
      </c>
    </row>
    <row r="28" spans="1:24" ht="18.75" customHeight="1">
      <c r="A28" s="25">
        <v>6</v>
      </c>
      <c r="B28" s="43"/>
      <c r="C28" s="44"/>
      <c r="D28" s="44"/>
      <c r="E28" s="45"/>
      <c r="F28" s="45" t="str">
        <f t="shared" si="0"/>
        <v/>
      </c>
      <c r="G28" s="46" t="str">
        <f t="shared" si="1"/>
        <v/>
      </c>
      <c r="H28" s="28" t="str">
        <f t="shared" si="2"/>
        <v/>
      </c>
    </row>
    <row r="29" spans="1:24" ht="18.75" customHeight="1">
      <c r="A29" s="25"/>
      <c r="B29" s="25"/>
      <c r="C29" s="47"/>
      <c r="D29" s="47"/>
      <c r="E29" s="48"/>
      <c r="F29" s="48"/>
      <c r="G29" s="49" t="s">
        <v>92</v>
      </c>
      <c r="H29" s="50">
        <f>SUM(H23:H28)</f>
        <v>0</v>
      </c>
    </row>
    <row r="30" spans="1:24">
      <c r="A30" s="25"/>
      <c r="C30" s="29"/>
      <c r="D30" s="29"/>
      <c r="E30" s="30"/>
      <c r="F30" s="30"/>
      <c r="G30" s="31"/>
      <c r="H30" s="31"/>
    </row>
    <row r="31" spans="1:24">
      <c r="A31" s="587" t="s">
        <v>85</v>
      </c>
      <c r="B31" s="587"/>
      <c r="C31" s="587"/>
      <c r="D31" s="587"/>
      <c r="E31" s="587"/>
      <c r="F31" s="587"/>
      <c r="G31" s="587"/>
      <c r="H31" s="587"/>
    </row>
    <row r="32" spans="1:24" ht="18.75" customHeight="1">
      <c r="A32" s="10" t="s">
        <v>47</v>
      </c>
      <c r="B32" s="600"/>
      <c r="C32" s="600"/>
      <c r="D32" s="600"/>
      <c r="E32" s="601" t="s">
        <v>112</v>
      </c>
      <c r="F32" s="602"/>
      <c r="G32" s="600"/>
      <c r="H32" s="600"/>
    </row>
    <row r="33" spans="1:24">
      <c r="B33" s="21"/>
      <c r="C33" s="21"/>
      <c r="D33" s="21"/>
      <c r="E33" s="21"/>
      <c r="F33" s="21"/>
      <c r="G33" s="21"/>
      <c r="H33" s="21"/>
    </row>
    <row r="34" spans="1:24">
      <c r="A34" s="587" t="s">
        <v>94</v>
      </c>
      <c r="B34" s="587"/>
      <c r="C34" s="587"/>
      <c r="D34" s="587"/>
      <c r="E34" s="587"/>
      <c r="F34" s="587"/>
      <c r="G34" s="587"/>
      <c r="H34" s="587"/>
    </row>
    <row r="35" spans="1:24" ht="18.75" customHeight="1">
      <c r="A35" s="10" t="s">
        <v>47</v>
      </c>
      <c r="B35" s="52"/>
      <c r="C35" s="583" t="s">
        <v>26</v>
      </c>
      <c r="D35" s="584"/>
      <c r="E35" s="34"/>
      <c r="F35" s="34"/>
      <c r="G35" s="34"/>
      <c r="H35" s="34"/>
      <c r="X35" s="32"/>
    </row>
    <row r="36" spans="1:24" ht="18.75" customHeight="1">
      <c r="A36" s="10" t="s">
        <v>97</v>
      </c>
      <c r="B36" s="36"/>
      <c r="C36" s="588"/>
      <c r="D36" s="589"/>
      <c r="E36" s="589"/>
      <c r="F36" s="589"/>
      <c r="G36" s="589"/>
      <c r="H36" s="590"/>
      <c r="X36" s="32"/>
    </row>
    <row r="37" spans="1:24" ht="18.75" customHeight="1">
      <c r="A37" s="10" t="s">
        <v>4</v>
      </c>
      <c r="B37" s="36"/>
      <c r="C37" s="591"/>
      <c r="D37" s="592"/>
      <c r="E37" s="592"/>
      <c r="F37" s="592"/>
      <c r="G37" s="592"/>
      <c r="H37" s="593"/>
      <c r="X37" s="32"/>
    </row>
    <row r="38" spans="1:24" ht="18.75" customHeight="1">
      <c r="A38" s="10" t="s">
        <v>14</v>
      </c>
      <c r="B38" s="36"/>
      <c r="C38" s="591"/>
      <c r="D38" s="592"/>
      <c r="E38" s="592"/>
      <c r="F38" s="592"/>
      <c r="G38" s="592"/>
      <c r="H38" s="593"/>
      <c r="X38" s="32"/>
    </row>
    <row r="39" spans="1:24" ht="18.75" customHeight="1">
      <c r="A39" s="10" t="s">
        <v>83</v>
      </c>
      <c r="B39" s="36"/>
      <c r="C39" s="591"/>
      <c r="D39" s="592"/>
      <c r="E39" s="592"/>
      <c r="F39" s="592"/>
      <c r="G39" s="592"/>
      <c r="H39" s="593"/>
      <c r="X39" s="32"/>
    </row>
    <row r="40" spans="1:24" ht="18.75" customHeight="1">
      <c r="A40" s="10" t="s">
        <v>33</v>
      </c>
      <c r="B40" s="36"/>
      <c r="C40" s="591"/>
      <c r="D40" s="592"/>
      <c r="E40" s="592"/>
      <c r="F40" s="592"/>
      <c r="G40" s="592"/>
      <c r="H40" s="593"/>
      <c r="X40" s="32"/>
    </row>
    <row r="41" spans="1:24" ht="18.75" customHeight="1">
      <c r="A41" s="10" t="s">
        <v>34</v>
      </c>
      <c r="B41" s="36"/>
      <c r="C41" s="594"/>
      <c r="D41" s="595"/>
      <c r="E41" s="595"/>
      <c r="F41" s="595"/>
      <c r="G41" s="595"/>
      <c r="H41" s="596"/>
      <c r="X41" s="32"/>
    </row>
    <row r="42" spans="1:24" ht="18.75" customHeight="1">
      <c r="A42" s="10" t="s">
        <v>21</v>
      </c>
      <c r="B42" s="36"/>
      <c r="C42" s="592" t="s">
        <v>9</v>
      </c>
      <c r="D42" s="592"/>
      <c r="E42" s="592"/>
      <c r="F42" s="597"/>
      <c r="G42" s="598"/>
      <c r="H42" s="599"/>
      <c r="X42" s="32"/>
    </row>
    <row r="43" spans="1:24">
      <c r="X43" s="32"/>
    </row>
    <row r="46" spans="1:24" ht="14.65" thickBot="1">
      <c r="F46" s="51"/>
      <c r="G46" s="51"/>
      <c r="H46" s="51"/>
    </row>
    <row r="47" spans="1:24">
      <c r="F47" s="586"/>
      <c r="G47" s="586"/>
      <c r="H47" s="586"/>
    </row>
  </sheetData>
  <mergeCells count="33">
    <mergeCell ref="Z1:AB1"/>
    <mergeCell ref="AC1:AE1"/>
    <mergeCell ref="AF1:AG1"/>
    <mergeCell ref="B16:H16"/>
    <mergeCell ref="E15:H15"/>
    <mergeCell ref="C1:F1"/>
    <mergeCell ref="C8:D8"/>
    <mergeCell ref="C7:D7"/>
    <mergeCell ref="C6:D6"/>
    <mergeCell ref="C3:D3"/>
    <mergeCell ref="E9:F9"/>
    <mergeCell ref="E8:F8"/>
    <mergeCell ref="E7:F7"/>
    <mergeCell ref="E6:F6"/>
    <mergeCell ref="E3:F3"/>
    <mergeCell ref="C15:D15"/>
    <mergeCell ref="A11:H11"/>
    <mergeCell ref="A5:H5"/>
    <mergeCell ref="B32:D32"/>
    <mergeCell ref="G32:H32"/>
    <mergeCell ref="E32:F32"/>
    <mergeCell ref="C9:D9"/>
    <mergeCell ref="C35:D35"/>
    <mergeCell ref="C12:H12"/>
    <mergeCell ref="F47:H47"/>
    <mergeCell ref="A31:H31"/>
    <mergeCell ref="A21:H21"/>
    <mergeCell ref="A18:H18"/>
    <mergeCell ref="A14:H14"/>
    <mergeCell ref="C36:H41"/>
    <mergeCell ref="C42:E42"/>
    <mergeCell ref="F42:H42"/>
    <mergeCell ref="A34:H34"/>
  </mergeCells>
  <dataValidations count="7">
    <dataValidation type="list" allowBlank="1" showInputMessage="1" showErrorMessage="1" sqref="D19:D20 B40:B41" xr:uid="{00000000-0002-0000-0300-000000000000}">
      <formula1>$V$2:$V$3</formula1>
    </dataValidation>
    <dataValidation type="list" allowBlank="1" showInputMessage="1" showErrorMessage="1" sqref="B23:B30" xr:uid="{00000000-0002-0000-0300-000001000000}">
      <formula1>$X$3:$X$9</formula1>
    </dataValidation>
    <dataValidation type="list" allowBlank="1" showInputMessage="1" showErrorMessage="1" sqref="H9:H10" xr:uid="{00000000-0002-0000-0300-000002000000}">
      <formula1>$W$2:$W$4</formula1>
    </dataValidation>
    <dataValidation type="list" allowBlank="1" showInputMessage="1" showErrorMessage="1" sqref="A12:A13" xr:uid="{00000000-0002-0000-0300-000003000000}">
      <formula1>$U$2:$U$5</formula1>
    </dataValidation>
    <dataValidation type="list" allowBlank="1" showInputMessage="1" showErrorMessage="1" sqref="B35" xr:uid="{00000000-0002-0000-0300-000004000000}">
      <formula1>$AH$2:$AH$7</formula1>
    </dataValidation>
    <dataValidation type="list" allowBlank="1" showInputMessage="1" showErrorMessage="1" sqref="B37" xr:uid="{00000000-0002-0000-0300-000005000000}">
      <formula1>$AI$2:$AI$3</formula1>
    </dataValidation>
    <dataValidation type="list" allowBlank="1" showInputMessage="1" showErrorMessage="1" sqref="B39" xr:uid="{00000000-0002-0000-0300-000006000000}">
      <formula1>$AJ$2:$AJ$3</formula1>
    </dataValidation>
  </dataValidations>
  <pageMargins left="0.70866141732283472" right="0.70866141732283472" top="0.74803149606299213" bottom="0.74803149606299213" header="0.31496062992125984" footer="0.31496062992125984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8DBE0-74BF-FF43-AD3F-F5D2B44C8F4F}">
  <sheetPr>
    <pageSetUpPr fitToPage="1"/>
  </sheetPr>
  <dimension ref="A1:K29"/>
  <sheetViews>
    <sheetView zoomScale="78" workbookViewId="0">
      <selection activeCell="K30" sqref="K30"/>
    </sheetView>
  </sheetViews>
  <sheetFormatPr baseColWidth="10" defaultRowHeight="14.25"/>
  <cols>
    <col min="1" max="1" width="11.33203125" customWidth="1"/>
    <col min="2" max="2" width="13.33203125" customWidth="1"/>
    <col min="3" max="3" width="11" customWidth="1"/>
    <col min="4" max="4" width="11.796875" customWidth="1"/>
    <col min="5" max="5" width="13" bestFit="1" customWidth="1"/>
    <col min="6" max="6" width="23.33203125" customWidth="1"/>
    <col min="7" max="7" width="18" customWidth="1"/>
    <col min="8" max="8" width="17.46484375" bestFit="1" customWidth="1"/>
    <col min="9" max="9" width="0.33203125" style="305" hidden="1" customWidth="1"/>
    <col min="10" max="10" width="10.796875" style="305" hidden="1" customWidth="1"/>
  </cols>
  <sheetData>
    <row r="1" spans="1:11">
      <c r="A1" s="176"/>
      <c r="D1" s="615" t="s">
        <v>315</v>
      </c>
      <c r="E1" s="579">
        <f>'Nota de venta'!H1</f>
        <v>0</v>
      </c>
      <c r="F1" s="526"/>
    </row>
    <row r="2" spans="1:11" ht="14.65" thickBot="1">
      <c r="A2" s="176"/>
      <c r="D2" s="615"/>
      <c r="E2" s="616"/>
      <c r="F2" s="528"/>
    </row>
    <row r="3" spans="1:11" ht="14.65" thickBot="1">
      <c r="A3" s="176"/>
    </row>
    <row r="4" spans="1:11">
      <c r="A4" s="176"/>
      <c r="D4" s="617">
        <f>'Nota de venta'!C112</f>
        <v>0</v>
      </c>
      <c r="E4" s="618"/>
      <c r="F4" s="619"/>
    </row>
    <row r="5" spans="1:11" ht="14.65" thickBot="1">
      <c r="D5" s="620"/>
      <c r="E5" s="621"/>
      <c r="F5" s="622"/>
    </row>
    <row r="6" spans="1:11" ht="28.9" customHeight="1" thickBot="1">
      <c r="D6" s="633">
        <f>'Nota de venta'!C6</f>
        <v>0</v>
      </c>
      <c r="E6" s="634"/>
      <c r="F6" s="635"/>
    </row>
    <row r="7" spans="1:11" ht="21.4" thickBot="1">
      <c r="G7" s="273" t="s">
        <v>316</v>
      </c>
      <c r="H7" s="274">
        <v>0</v>
      </c>
      <c r="I7" s="306"/>
    </row>
    <row r="8" spans="1:11" ht="21.4" thickBot="1">
      <c r="G8" s="273" t="s">
        <v>317</v>
      </c>
      <c r="H8" s="274">
        <v>0</v>
      </c>
      <c r="I8" s="306"/>
    </row>
    <row r="9" spans="1:11" ht="45" customHeight="1" thickBot="1">
      <c r="A9" s="275" t="s">
        <v>6</v>
      </c>
      <c r="B9" s="275" t="s">
        <v>72</v>
      </c>
      <c r="C9" s="275" t="s">
        <v>298</v>
      </c>
      <c r="D9" s="275" t="s">
        <v>27</v>
      </c>
      <c r="E9" s="275" t="s">
        <v>299</v>
      </c>
      <c r="F9" s="275" t="s">
        <v>300</v>
      </c>
      <c r="G9" s="275" t="s">
        <v>301</v>
      </c>
      <c r="H9" s="275" t="s">
        <v>302</v>
      </c>
    </row>
    <row r="10" spans="1:11" ht="31.05" customHeight="1">
      <c r="A10" s="623">
        <f>+'NV CAJAS (BL)'!D16</f>
        <v>0</v>
      </c>
      <c r="B10" s="611">
        <f>+'NV CAJAS (BL)'!C16</f>
        <v>0</v>
      </c>
      <c r="C10" s="627">
        <f>'Nota de venta'!E10</f>
        <v>0</v>
      </c>
      <c r="D10" s="630">
        <f>'Nota de venta'!F10</f>
        <v>0</v>
      </c>
      <c r="E10" s="285" t="s">
        <v>303</v>
      </c>
      <c r="F10" s="286" t="str">
        <f>+'NV CAJAS (BL)'!Y16</f>
        <v/>
      </c>
      <c r="G10" s="287">
        <f>+'NV CAJAS (BL)'!T16/I10</f>
        <v>0</v>
      </c>
      <c r="H10" s="288">
        <f>+G10*A10</f>
        <v>0</v>
      </c>
      <c r="I10" s="305">
        <v>6</v>
      </c>
      <c r="J10" s="305" t="s">
        <v>304</v>
      </c>
    </row>
    <row r="11" spans="1:11" ht="27" customHeight="1">
      <c r="A11" s="624"/>
      <c r="B11" s="626"/>
      <c r="C11" s="628"/>
      <c r="D11" s="631"/>
      <c r="E11" s="289" t="s">
        <v>243</v>
      </c>
      <c r="F11" s="290" t="str">
        <f>+'NV CAJAS (BL)'!V16</f>
        <v/>
      </c>
      <c r="G11" s="291">
        <f>+(C10*D10)/I11</f>
        <v>0</v>
      </c>
      <c r="H11" s="292">
        <f>+G11*A10+0.5</f>
        <v>0.5</v>
      </c>
      <c r="I11" s="305">
        <f>1.22*2.44</f>
        <v>2.9767999999999999</v>
      </c>
      <c r="J11" s="305" t="s">
        <v>305</v>
      </c>
    </row>
    <row r="12" spans="1:11" ht="38" customHeight="1" thickBot="1">
      <c r="A12" s="625"/>
      <c r="B12" s="613"/>
      <c r="C12" s="629"/>
      <c r="D12" s="632"/>
      <c r="E12" s="289" t="s">
        <v>306</v>
      </c>
      <c r="F12" s="290" t="str">
        <f>+'NV CAJAS (BL)'!H16</f>
        <v/>
      </c>
      <c r="G12" s="291" t="e">
        <f>+'NV CAJAS (BL)'!P16</f>
        <v>#N/A</v>
      </c>
      <c r="H12" s="292" t="e">
        <f>+G12*A10</f>
        <v>#N/A</v>
      </c>
    </row>
    <row r="13" spans="1:11" ht="40.049999999999997" customHeight="1">
      <c r="A13" s="293" t="s">
        <v>318</v>
      </c>
      <c r="B13" s="611"/>
      <c r="C13" s="612"/>
      <c r="D13" s="526"/>
      <c r="E13" s="289" t="s">
        <v>307</v>
      </c>
      <c r="F13" s="290" t="str">
        <f>+'NV CAJAS (BL)'!L16</f>
        <v>sin luces</v>
      </c>
      <c r="G13" s="291">
        <f>+'NV CAJAS (BL)'!Q16</f>
        <v>0</v>
      </c>
      <c r="H13" s="292">
        <f>+G13*A10</f>
        <v>0</v>
      </c>
    </row>
    <row r="14" spans="1:11" ht="35" customHeight="1" thickBot="1">
      <c r="A14" s="284"/>
      <c r="B14" s="613"/>
      <c r="C14" s="614"/>
      <c r="D14" s="528"/>
      <c r="E14" s="294" t="s">
        <v>191</v>
      </c>
      <c r="F14" s="295" t="b">
        <f>+'NV CAJAS (BL)'!W16</f>
        <v>0</v>
      </c>
      <c r="G14" s="296">
        <v>1</v>
      </c>
      <c r="H14" s="297">
        <f>+G14*A10</f>
        <v>0</v>
      </c>
      <c r="K14" t="e">
        <f>'NV CAJAS (BL)'!X16</f>
        <v>#N/A</v>
      </c>
    </row>
    <row r="15" spans="1:11" ht="26" customHeight="1">
      <c r="A15" s="623">
        <f>+'NV CAJAS (BL)'!D17</f>
        <v>0</v>
      </c>
      <c r="B15" s="611">
        <f>+'NV CAJAS (BL)'!C17</f>
        <v>0</v>
      </c>
      <c r="C15" s="627">
        <f>'Nota de venta'!E11</f>
        <v>0</v>
      </c>
      <c r="D15" s="630">
        <f>'Nota de venta'!F11</f>
        <v>0</v>
      </c>
      <c r="E15" s="285" t="s">
        <v>303</v>
      </c>
      <c r="F15" s="286" t="str">
        <f>+'NV CAJAS (BL)'!Y17</f>
        <v/>
      </c>
      <c r="G15" s="287">
        <f>+'NV CAJAS (BL)'!T17/I15</f>
        <v>0</v>
      </c>
      <c r="H15" s="288">
        <f>+G15*A15</f>
        <v>0</v>
      </c>
      <c r="I15" s="305">
        <v>6</v>
      </c>
      <c r="J15" s="305" t="s">
        <v>304</v>
      </c>
    </row>
    <row r="16" spans="1:11" ht="26" customHeight="1">
      <c r="A16" s="624"/>
      <c r="B16" s="626"/>
      <c r="C16" s="628"/>
      <c r="D16" s="631"/>
      <c r="E16" s="289" t="s">
        <v>243</v>
      </c>
      <c r="F16" s="290" t="str">
        <f>+'NV CAJAS (BL)'!V17</f>
        <v/>
      </c>
      <c r="G16" s="291">
        <f>+(C15*D15)/I16</f>
        <v>0</v>
      </c>
      <c r="H16" s="292">
        <f>+G16*A15+0.5</f>
        <v>0.5</v>
      </c>
      <c r="I16" s="305">
        <f>1.22*2.44</f>
        <v>2.9767999999999999</v>
      </c>
      <c r="J16" s="305" t="s">
        <v>305</v>
      </c>
    </row>
    <row r="17" spans="1:11" ht="44" customHeight="1" thickBot="1">
      <c r="A17" s="625"/>
      <c r="B17" s="613"/>
      <c r="C17" s="629"/>
      <c r="D17" s="632"/>
      <c r="E17" s="289" t="s">
        <v>306</v>
      </c>
      <c r="F17" s="290" t="str">
        <f>+'NV CAJAS (BL)'!H17</f>
        <v/>
      </c>
      <c r="G17" s="291" t="e">
        <f>+'NV CAJAS (BL)'!P17</f>
        <v>#N/A</v>
      </c>
      <c r="H17" s="292" t="e">
        <f>+G17*A15</f>
        <v>#N/A</v>
      </c>
    </row>
    <row r="18" spans="1:11" ht="27" customHeight="1">
      <c r="A18" s="293" t="s">
        <v>318</v>
      </c>
      <c r="B18" s="611"/>
      <c r="C18" s="612"/>
      <c r="D18" s="526"/>
      <c r="E18" s="289" t="s">
        <v>307</v>
      </c>
      <c r="F18" s="290" t="str">
        <f>+'NV CAJAS (BL)'!L17</f>
        <v>sin luces</v>
      </c>
      <c r="G18" s="291">
        <f>+'NV CAJAS (BL)'!Q17</f>
        <v>0</v>
      </c>
      <c r="H18" s="292">
        <f>+G18*A15</f>
        <v>0</v>
      </c>
    </row>
    <row r="19" spans="1:11" ht="43.05" customHeight="1" thickBot="1">
      <c r="A19" s="284"/>
      <c r="B19" s="613"/>
      <c r="C19" s="614"/>
      <c r="D19" s="528"/>
      <c r="E19" s="294" t="s">
        <v>191</v>
      </c>
      <c r="F19" s="295" t="b">
        <f>+'NV CAJAS (BL)'!W17</f>
        <v>0</v>
      </c>
      <c r="G19" s="296">
        <v>1</v>
      </c>
      <c r="H19" s="297">
        <f>+G19*A15</f>
        <v>0</v>
      </c>
      <c r="K19" t="e">
        <f>'NV CAJAS (BL)'!X17</f>
        <v>#N/A</v>
      </c>
    </row>
    <row r="20" spans="1:11" ht="28.05" customHeight="1">
      <c r="A20" s="623">
        <f>+'NV CAJAS (BL)'!D18</f>
        <v>0</v>
      </c>
      <c r="B20" s="611">
        <f>+'NV CAJAS (BL)'!C18</f>
        <v>0</v>
      </c>
      <c r="C20" s="627">
        <f>'Nota de venta'!E12</f>
        <v>0</v>
      </c>
      <c r="D20" s="630">
        <f>'Nota de venta'!F12</f>
        <v>0</v>
      </c>
      <c r="E20" s="276" t="s">
        <v>303</v>
      </c>
      <c r="F20" s="286" t="str">
        <f>+'NV CAJAS (BL)'!Y18</f>
        <v/>
      </c>
      <c r="G20" s="287">
        <f>+'NV CAJAS (BL)'!T18/I20</f>
        <v>0</v>
      </c>
      <c r="H20" s="288">
        <f>+G20*A20</f>
        <v>0</v>
      </c>
      <c r="I20" s="305">
        <v>6</v>
      </c>
      <c r="J20" s="305" t="s">
        <v>304</v>
      </c>
    </row>
    <row r="21" spans="1:11" ht="29" customHeight="1">
      <c r="A21" s="624"/>
      <c r="B21" s="626"/>
      <c r="C21" s="628"/>
      <c r="D21" s="631"/>
      <c r="E21" s="277" t="s">
        <v>243</v>
      </c>
      <c r="F21" s="290" t="str">
        <f>+'NV CAJAS (BL)'!V18</f>
        <v/>
      </c>
      <c r="G21" s="291">
        <f>+(C20*D20)/I21</f>
        <v>0</v>
      </c>
      <c r="H21" s="292">
        <f>+G21*A20+0.5</f>
        <v>0.5</v>
      </c>
      <c r="I21" s="305">
        <f>1.22*2.44</f>
        <v>2.9767999999999999</v>
      </c>
      <c r="J21" s="305" t="s">
        <v>305</v>
      </c>
    </row>
    <row r="22" spans="1:11" ht="32" customHeight="1" thickBot="1">
      <c r="A22" s="625"/>
      <c r="B22" s="613"/>
      <c r="C22" s="629"/>
      <c r="D22" s="632"/>
      <c r="E22" s="277" t="s">
        <v>306</v>
      </c>
      <c r="F22" s="290" t="str">
        <f>+'NV CAJAS (BL)'!H18</f>
        <v/>
      </c>
      <c r="G22" s="291" t="e">
        <f>+'NV CAJAS (BL)'!P18</f>
        <v>#N/A</v>
      </c>
      <c r="H22" s="292" t="e">
        <f>+G22*A20</f>
        <v>#N/A</v>
      </c>
    </row>
    <row r="23" spans="1:11" ht="30" customHeight="1">
      <c r="A23" s="293" t="s">
        <v>318</v>
      </c>
      <c r="B23" s="611"/>
      <c r="C23" s="612"/>
      <c r="D23" s="526"/>
      <c r="E23" s="277" t="s">
        <v>307</v>
      </c>
      <c r="F23" s="290" t="str">
        <f>+'NV CAJAS (BL)'!L18</f>
        <v>sin luces</v>
      </c>
      <c r="G23" s="291">
        <f>+'NV CAJAS (BL)'!Q18</f>
        <v>0</v>
      </c>
      <c r="H23" s="292">
        <f>+G23*A20</f>
        <v>0</v>
      </c>
    </row>
    <row r="24" spans="1:11" ht="39" customHeight="1" thickBot="1">
      <c r="A24" s="284"/>
      <c r="B24" s="613"/>
      <c r="C24" s="614"/>
      <c r="D24" s="528"/>
      <c r="E24" s="278" t="s">
        <v>191</v>
      </c>
      <c r="F24" s="295" t="b">
        <f>+'NV CAJAS (BL)'!W18</f>
        <v>0</v>
      </c>
      <c r="G24" s="296">
        <v>1</v>
      </c>
      <c r="H24" s="297">
        <f>+G24*A20</f>
        <v>0</v>
      </c>
      <c r="K24" t="e">
        <f>'NV CAJAS (BL)'!X18</f>
        <v>#N/A</v>
      </c>
    </row>
    <row r="25" spans="1:11" ht="25.05" customHeight="1">
      <c r="A25" s="623">
        <f>+'NV CAJAS (BL)'!D19</f>
        <v>0</v>
      </c>
      <c r="B25" s="611">
        <f>+'NV CAJAS (BL)'!C19</f>
        <v>0</v>
      </c>
      <c r="C25" s="627">
        <f>'Nota de venta'!E13</f>
        <v>0</v>
      </c>
      <c r="D25" s="630">
        <f>'Nota de venta'!F13</f>
        <v>0</v>
      </c>
      <c r="E25" s="276" t="s">
        <v>303</v>
      </c>
      <c r="F25" s="286" t="str">
        <f>+'NV CAJAS (BL)'!Y19</f>
        <v/>
      </c>
      <c r="G25" s="287">
        <f>+'NV CAJAS (BL)'!T19/I25</f>
        <v>0</v>
      </c>
      <c r="H25" s="288">
        <f>+G25*A25</f>
        <v>0</v>
      </c>
      <c r="I25" s="305">
        <v>6</v>
      </c>
      <c r="J25" s="305" t="s">
        <v>304</v>
      </c>
    </row>
    <row r="26" spans="1:11" ht="25.05" customHeight="1">
      <c r="A26" s="624"/>
      <c r="B26" s="626"/>
      <c r="C26" s="628"/>
      <c r="D26" s="631"/>
      <c r="E26" s="277" t="s">
        <v>243</v>
      </c>
      <c r="F26" s="290" t="str">
        <f>+'NV CAJAS (BL)'!V19</f>
        <v/>
      </c>
      <c r="G26" s="291">
        <f>+(C25*D25)/I26</f>
        <v>0</v>
      </c>
      <c r="H26" s="292">
        <f>+G26*A25+0.5</f>
        <v>0.5</v>
      </c>
      <c r="I26" s="305">
        <f>1.22*2.44</f>
        <v>2.9767999999999999</v>
      </c>
      <c r="J26" s="305" t="s">
        <v>305</v>
      </c>
    </row>
    <row r="27" spans="1:11" ht="29" customHeight="1" thickBot="1">
      <c r="A27" s="625"/>
      <c r="B27" s="613"/>
      <c r="C27" s="629"/>
      <c r="D27" s="632"/>
      <c r="E27" s="277" t="s">
        <v>306</v>
      </c>
      <c r="F27" s="290" t="str">
        <f>+'NV CAJAS (BL)'!H19</f>
        <v/>
      </c>
      <c r="G27" s="291" t="e">
        <f>+'NV CAJAS (BL)'!P19</f>
        <v>#N/A</v>
      </c>
      <c r="H27" s="292" t="e">
        <f>+G27*A25</f>
        <v>#N/A</v>
      </c>
    </row>
    <row r="28" spans="1:11" ht="31.05" customHeight="1">
      <c r="A28" s="293" t="s">
        <v>318</v>
      </c>
      <c r="B28" s="611"/>
      <c r="C28" s="612"/>
      <c r="D28" s="526"/>
      <c r="E28" s="277" t="s">
        <v>307</v>
      </c>
      <c r="F28" s="290" t="str">
        <f>+'NV CAJAS (BL)'!L19</f>
        <v>sin luces</v>
      </c>
      <c r="G28" s="291">
        <f>+'NV CAJAS (BL)'!Q19</f>
        <v>0</v>
      </c>
      <c r="H28" s="292">
        <f>+G28*A25</f>
        <v>0</v>
      </c>
    </row>
    <row r="29" spans="1:11" ht="41" customHeight="1" thickBot="1">
      <c r="A29" s="284"/>
      <c r="B29" s="613"/>
      <c r="C29" s="614"/>
      <c r="D29" s="528"/>
      <c r="E29" s="278" t="s">
        <v>191</v>
      </c>
      <c r="F29" s="295" t="b">
        <f>+'NV CAJAS (BL)'!W19</f>
        <v>0</v>
      </c>
      <c r="G29" s="296">
        <v>1</v>
      </c>
      <c r="H29" s="297">
        <f>+G29*A25</f>
        <v>0</v>
      </c>
      <c r="K29" t="e">
        <f>'NV CAJAS (BL)'!X19</f>
        <v>#N/A</v>
      </c>
    </row>
  </sheetData>
  <mergeCells count="24">
    <mergeCell ref="B28:D29"/>
    <mergeCell ref="A20:A22"/>
    <mergeCell ref="B20:B22"/>
    <mergeCell ref="C20:C22"/>
    <mergeCell ref="D20:D22"/>
    <mergeCell ref="B23:D24"/>
    <mergeCell ref="A25:A27"/>
    <mergeCell ref="B25:B27"/>
    <mergeCell ref="C25:C27"/>
    <mergeCell ref="D25:D27"/>
    <mergeCell ref="B18:D19"/>
    <mergeCell ref="D1:D2"/>
    <mergeCell ref="E1:F2"/>
    <mergeCell ref="D4:F5"/>
    <mergeCell ref="A10:A12"/>
    <mergeCell ref="B10:B12"/>
    <mergeCell ref="C10:C12"/>
    <mergeCell ref="D10:D12"/>
    <mergeCell ref="B13:D14"/>
    <mergeCell ref="A15:A17"/>
    <mergeCell ref="B15:B17"/>
    <mergeCell ref="C15:C17"/>
    <mergeCell ref="D15:D17"/>
    <mergeCell ref="D6:F6"/>
  </mergeCells>
  <pageMargins left="0.7" right="0.7" top="0.75" bottom="0.75" header="0.3" footer="0.3"/>
  <pageSetup scale="70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E75D-C6B2-3A4D-B9AF-32005FC8637C}">
  <sheetPr>
    <pageSetUpPr fitToPage="1"/>
  </sheetPr>
  <dimension ref="A1:CQ91"/>
  <sheetViews>
    <sheetView topLeftCell="A20" zoomScale="55" zoomScaleNormal="90" zoomScaleSheetLayoutView="85" workbookViewId="0">
      <selection activeCell="L27" sqref="L27"/>
    </sheetView>
  </sheetViews>
  <sheetFormatPr baseColWidth="10" defaultColWidth="9.33203125" defaultRowHeight="15.75"/>
  <cols>
    <col min="1" max="2" width="9.33203125" style="59"/>
    <col min="3" max="3" width="22.46484375" style="59" customWidth="1"/>
    <col min="4" max="4" width="14.1328125" style="59" customWidth="1"/>
    <col min="5" max="5" width="13.33203125" style="59" customWidth="1"/>
    <col min="6" max="6" width="13.59765625" style="59" customWidth="1"/>
    <col min="7" max="7" width="1.1328125" style="59" hidden="1" customWidth="1"/>
    <col min="8" max="8" width="26.1328125" style="59" customWidth="1"/>
    <col min="9" max="9" width="13.46484375" style="59" customWidth="1"/>
    <col min="10" max="10" width="14.53125" style="59" customWidth="1"/>
    <col min="11" max="11" width="12.265625" style="59" customWidth="1"/>
    <col min="12" max="12" width="18.1328125" style="59" customWidth="1"/>
    <col min="13" max="13" width="16" style="59" customWidth="1"/>
    <col min="14" max="14" width="16.33203125" style="59" customWidth="1"/>
    <col min="15" max="15" width="14.9296875" style="59" customWidth="1"/>
    <col min="16" max="17" width="14.796875" style="59" customWidth="1"/>
    <col min="18" max="18" width="15.53125" style="91" customWidth="1"/>
    <col min="19" max="19" width="15.53125" style="59" customWidth="1"/>
    <col min="20" max="20" width="19" style="59" customWidth="1"/>
    <col min="21" max="21" width="23" style="59" customWidth="1"/>
    <col min="22" max="22" width="17.33203125" style="59" customWidth="1"/>
    <col min="23" max="23" width="27" style="59" customWidth="1"/>
    <col min="24" max="24" width="18" style="59" customWidth="1"/>
    <col min="25" max="25" width="23" style="59" hidden="1" customWidth="1"/>
    <col min="26" max="26" width="20" customWidth="1"/>
    <col min="27" max="28" width="17" style="59" customWidth="1"/>
    <col min="29" max="29" width="11.796875" style="59" customWidth="1"/>
    <col min="30" max="30" width="7.1328125" style="59" customWidth="1"/>
    <col min="31" max="31" width="14.33203125" style="59" customWidth="1"/>
    <col min="32" max="32" width="11.33203125" style="59" customWidth="1"/>
    <col min="33" max="33" width="16.1328125" style="59" customWidth="1"/>
    <col min="34" max="34" width="24.1328125" style="59" customWidth="1"/>
    <col min="35" max="35" width="140.46484375" style="59" customWidth="1"/>
    <col min="36" max="36" width="11.33203125" style="59" customWidth="1"/>
    <col min="37" max="37" width="5.46484375" style="59" customWidth="1"/>
    <col min="38" max="38" width="8.1328125" style="59" customWidth="1"/>
    <col min="39" max="40" width="22.33203125" style="59" customWidth="1"/>
    <col min="41" max="41" width="6.1328125" style="59" customWidth="1"/>
    <col min="42" max="42" width="10.1328125" style="59" customWidth="1"/>
    <col min="43" max="43" width="23" style="59" customWidth="1"/>
    <col min="44" max="44" width="17.46484375" style="59" customWidth="1"/>
    <col min="45" max="45" width="11" style="59" customWidth="1"/>
    <col min="46" max="46" width="8.33203125" style="59" customWidth="1"/>
    <col min="47" max="47" width="10" style="59" customWidth="1"/>
    <col min="48" max="48" width="7.33203125" style="59" customWidth="1"/>
    <col min="49" max="49" width="2.1328125" style="59" customWidth="1"/>
    <col min="50" max="50" width="28.33203125" style="59" customWidth="1"/>
    <col min="51" max="51" width="7" style="59" customWidth="1"/>
    <col min="52" max="52" width="6.796875" style="59" customWidth="1"/>
    <col min="53" max="54" width="23.46484375" style="59" customWidth="1"/>
    <col min="55" max="55" width="5.33203125" style="59" customWidth="1"/>
    <col min="56" max="56" width="9.33203125" style="59" customWidth="1"/>
    <col min="57" max="57" width="15" style="59" customWidth="1"/>
    <col min="58" max="58" width="7.33203125" style="59" customWidth="1"/>
    <col min="59" max="59" width="10.46484375" style="59" customWidth="1"/>
    <col min="60" max="60" width="5.6640625" style="59" customWidth="1"/>
    <col min="61" max="61" width="10" style="59" customWidth="1"/>
    <col min="62" max="65" width="15.1328125" style="59" customWidth="1"/>
    <col min="66" max="66" width="35.1328125" style="109" customWidth="1"/>
    <col min="67" max="67" width="5.6640625" style="59" customWidth="1"/>
    <col min="68" max="68" width="22.33203125" style="59" customWidth="1"/>
    <col min="69" max="69" width="0.1328125" style="59" customWidth="1"/>
    <col min="70" max="71" width="22.33203125" style="59" customWidth="1"/>
    <col min="72" max="74" width="30.1328125" style="59" customWidth="1"/>
    <col min="75" max="16384" width="9.33203125" style="59"/>
  </cols>
  <sheetData>
    <row r="1" spans="1:93" hidden="1"/>
    <row r="2" spans="1:93" ht="40.5" hidden="1" customHeight="1">
      <c r="C2" s="60"/>
      <c r="D2" s="60"/>
      <c r="E2" s="60"/>
      <c r="F2" s="61"/>
      <c r="G2" s="61"/>
      <c r="H2" s="86"/>
      <c r="I2" s="62"/>
      <c r="J2" s="62"/>
      <c r="K2" s="166"/>
      <c r="M2" s="69"/>
      <c r="R2" s="59"/>
      <c r="Z2" s="59"/>
      <c r="AF2" s="69"/>
      <c r="AG2" s="146" t="s">
        <v>63</v>
      </c>
      <c r="AH2" s="68"/>
      <c r="AI2"/>
      <c r="AJ2"/>
      <c r="AK2" s="146" t="s">
        <v>44</v>
      </c>
      <c r="AL2"/>
      <c r="AM2"/>
      <c r="AN2" s="68"/>
      <c r="AO2"/>
      <c r="AP2"/>
      <c r="AQ2"/>
      <c r="AR2"/>
      <c r="AS2"/>
      <c r="AT2"/>
      <c r="AU2"/>
      <c r="AV2" s="154" t="s">
        <v>111</v>
      </c>
      <c r="AY2" s="150" t="s">
        <v>61</v>
      </c>
      <c r="AZ2" s="150" t="s">
        <v>115</v>
      </c>
      <c r="BA2" s="164" t="s">
        <v>127</v>
      </c>
      <c r="BB2"/>
      <c r="BC2" s="125" t="s">
        <v>248</v>
      </c>
      <c r="BD2" s="151"/>
      <c r="BE2"/>
      <c r="BF2"/>
      <c r="BG2">
        <f>2.56*2000</f>
        <v>5120</v>
      </c>
      <c r="BN2" s="59"/>
    </row>
    <row r="3" spans="1:93" ht="30" hidden="1" customHeight="1">
      <c r="F3" s="60"/>
      <c r="G3" s="60"/>
      <c r="H3" s="60"/>
      <c r="I3" s="60"/>
      <c r="J3" s="60"/>
      <c r="R3" s="59"/>
      <c r="Z3" s="59"/>
      <c r="AG3" s="113" t="s">
        <v>209</v>
      </c>
      <c r="AH3" s="114">
        <v>0</v>
      </c>
      <c r="AJ3"/>
      <c r="AK3" s="147" t="s">
        <v>13</v>
      </c>
      <c r="AL3"/>
      <c r="AM3"/>
      <c r="AN3" s="68"/>
      <c r="AO3"/>
      <c r="AP3"/>
      <c r="AQ3"/>
      <c r="AR3"/>
      <c r="AS3"/>
      <c r="AT3"/>
      <c r="AU3"/>
      <c r="AV3" s="125" t="s">
        <v>119</v>
      </c>
      <c r="AY3" s="125" t="s">
        <v>178</v>
      </c>
      <c r="AZ3" s="125">
        <v>1.53</v>
      </c>
      <c r="BA3" s="151">
        <v>27000</v>
      </c>
      <c r="BB3"/>
      <c r="BC3" s="125" t="s">
        <v>249</v>
      </c>
      <c r="BD3" s="151">
        <v>6500</v>
      </c>
      <c r="BE3"/>
      <c r="BF3"/>
      <c r="BG3"/>
      <c r="BN3" s="59"/>
    </row>
    <row r="4" spans="1:93" ht="30" hidden="1" customHeight="1">
      <c r="F4" s="60"/>
      <c r="G4" s="60"/>
      <c r="H4" s="60"/>
      <c r="I4" s="60"/>
      <c r="J4" s="60"/>
      <c r="R4" s="59"/>
      <c r="Z4" s="59"/>
      <c r="AG4" s="113" t="s">
        <v>210</v>
      </c>
      <c r="AH4" s="114">
        <v>0</v>
      </c>
      <c r="AJ4"/>
      <c r="AK4" s="147" t="s">
        <v>39</v>
      </c>
      <c r="AL4"/>
      <c r="AM4"/>
      <c r="AN4" s="68"/>
      <c r="AO4"/>
      <c r="AP4"/>
      <c r="AQ4"/>
      <c r="AR4"/>
      <c r="AS4"/>
      <c r="AT4"/>
      <c r="AV4" s="68"/>
      <c r="AY4" s="125" t="s">
        <v>179</v>
      </c>
      <c r="AZ4" s="125">
        <v>3.08</v>
      </c>
      <c r="BA4" s="151">
        <v>31000</v>
      </c>
      <c r="BB4"/>
      <c r="BC4" s="125" t="s">
        <v>250</v>
      </c>
      <c r="BD4" s="151">
        <v>9000</v>
      </c>
      <c r="BE4"/>
      <c r="BF4"/>
      <c r="BG4"/>
      <c r="BN4" s="59"/>
    </row>
    <row r="5" spans="1:93" ht="26.25" hidden="1" customHeight="1">
      <c r="B5" s="62" t="s">
        <v>81</v>
      </c>
      <c r="C5" s="63">
        <f>Cotización!C3</f>
        <v>0</v>
      </c>
      <c r="D5" s="103"/>
      <c r="E5" s="103"/>
      <c r="H5" s="64"/>
      <c r="I5" s="484"/>
      <c r="J5" s="484"/>
      <c r="M5" s="104"/>
      <c r="R5" s="59"/>
      <c r="Z5" s="59"/>
      <c r="AF5" s="104"/>
      <c r="AG5" s="113" t="s">
        <v>211</v>
      </c>
      <c r="AH5" s="114">
        <v>0.05</v>
      </c>
      <c r="AJ5"/>
      <c r="AK5" s="148" t="s">
        <v>107</v>
      </c>
      <c r="AL5"/>
      <c r="AM5"/>
      <c r="AN5" s="68"/>
      <c r="AO5"/>
      <c r="AP5"/>
      <c r="AQ5"/>
      <c r="AR5"/>
      <c r="AS5"/>
      <c r="AT5"/>
      <c r="AU5"/>
      <c r="AV5" s="68"/>
      <c r="AY5" s="124" t="s">
        <v>176</v>
      </c>
      <c r="AZ5" s="124">
        <v>1.53</v>
      </c>
      <c r="BA5" s="152">
        <v>22000</v>
      </c>
      <c r="BB5"/>
      <c r="BC5" s="125" t="s">
        <v>251</v>
      </c>
      <c r="BD5" s="151">
        <v>10000</v>
      </c>
      <c r="BE5"/>
      <c r="BF5"/>
      <c r="BG5"/>
      <c r="BN5" s="59"/>
    </row>
    <row r="6" spans="1:93" ht="19.05" hidden="1" customHeight="1" thickBot="1">
      <c r="F6" s="64"/>
      <c r="G6" s="64"/>
      <c r="H6" s="62"/>
      <c r="I6" s="64"/>
      <c r="J6" s="64"/>
      <c r="R6" s="59"/>
      <c r="Z6" s="59"/>
      <c r="AG6" s="113" t="s">
        <v>212</v>
      </c>
      <c r="AH6" s="114">
        <v>0.1</v>
      </c>
      <c r="AJ6"/>
      <c r="AK6" s="68"/>
      <c r="AL6"/>
      <c r="AM6"/>
      <c r="AN6" s="68"/>
      <c r="AO6"/>
      <c r="AP6"/>
      <c r="AQ6"/>
      <c r="AR6"/>
      <c r="AS6"/>
      <c r="AT6"/>
      <c r="AU6"/>
      <c r="AV6" s="68"/>
      <c r="AY6" s="125" t="s">
        <v>177</v>
      </c>
      <c r="AZ6" s="125">
        <v>3.08</v>
      </c>
      <c r="BA6" s="151">
        <v>31000</v>
      </c>
      <c r="BB6"/>
      <c r="BC6" s="153" t="s">
        <v>252</v>
      </c>
      <c r="BD6" s="153">
        <v>11000</v>
      </c>
      <c r="BE6"/>
      <c r="BF6"/>
      <c r="BG6"/>
      <c r="BN6" s="59"/>
    </row>
    <row r="7" spans="1:93" ht="38" hidden="1" customHeight="1" thickBot="1">
      <c r="B7" s="640" t="s">
        <v>45</v>
      </c>
      <c r="C7" s="641"/>
      <c r="D7" s="641"/>
      <c r="E7" s="641"/>
      <c r="F7" s="641"/>
      <c r="G7" s="641"/>
      <c r="H7" s="641"/>
      <c r="I7" s="641"/>
      <c r="J7" s="641"/>
      <c r="K7" s="642"/>
      <c r="L7" s="66"/>
      <c r="M7" s="66"/>
      <c r="R7" s="59"/>
      <c r="Z7" s="59"/>
      <c r="AF7" s="66"/>
      <c r="AG7" s="111" t="s">
        <v>213</v>
      </c>
      <c r="AH7" s="112">
        <v>0.2</v>
      </c>
      <c r="AJ7"/>
      <c r="AK7"/>
      <c r="AL7"/>
      <c r="AM7"/>
      <c r="AN7"/>
      <c r="AO7"/>
      <c r="AP7"/>
      <c r="AQ7"/>
      <c r="AR7"/>
      <c r="AS7"/>
      <c r="AT7"/>
      <c r="AU7"/>
      <c r="AV7" s="68"/>
      <c r="AY7" s="169" t="s">
        <v>260</v>
      </c>
      <c r="AZ7" s="59">
        <v>1.6</v>
      </c>
      <c r="BA7" s="59">
        <v>22000</v>
      </c>
      <c r="BB7"/>
      <c r="BC7" s="109" t="s">
        <v>256</v>
      </c>
      <c r="BD7" s="59">
        <v>0</v>
      </c>
      <c r="BE7"/>
      <c r="BF7"/>
      <c r="BG7"/>
      <c r="BN7" s="59"/>
    </row>
    <row r="8" spans="1:93" ht="42" hidden="1" customHeight="1" thickBot="1">
      <c r="B8" s="62" t="s">
        <v>55</v>
      </c>
      <c r="C8" s="652">
        <f>'Nota de venta'!C5</f>
        <v>0</v>
      </c>
      <c r="D8" s="653"/>
      <c r="E8" s="653"/>
      <c r="F8" s="654"/>
      <c r="G8" s="167"/>
      <c r="H8" s="62" t="s">
        <v>124</v>
      </c>
      <c r="I8" s="643"/>
      <c r="J8" s="644"/>
      <c r="K8" s="645"/>
      <c r="L8" s="85"/>
      <c r="M8" s="85"/>
      <c r="R8" s="59"/>
      <c r="Z8" s="59"/>
      <c r="AF8" s="67"/>
      <c r="AG8"/>
      <c r="AH8"/>
      <c r="AJ8"/>
      <c r="AK8"/>
      <c r="AL8"/>
      <c r="AM8"/>
      <c r="AN8"/>
      <c r="AO8"/>
      <c r="AP8"/>
      <c r="AQ8"/>
      <c r="AR8"/>
      <c r="AS8"/>
      <c r="AT8"/>
      <c r="AU8"/>
      <c r="AV8" s="68"/>
      <c r="AY8" s="107"/>
      <c r="BB8"/>
      <c r="BC8" s="109"/>
      <c r="BE8"/>
      <c r="BF8"/>
      <c r="BG8"/>
      <c r="BN8" s="59"/>
    </row>
    <row r="9" spans="1:93" ht="38" hidden="1" customHeight="1" thickBot="1">
      <c r="B9" s="62" t="s">
        <v>2</v>
      </c>
      <c r="C9" s="652">
        <f>'Nota de venta'!C6</f>
        <v>0</v>
      </c>
      <c r="D9" s="653"/>
      <c r="E9" s="653"/>
      <c r="F9" s="654"/>
      <c r="G9" s="167"/>
      <c r="H9" s="89"/>
      <c r="I9" s="646"/>
      <c r="J9" s="647"/>
      <c r="K9" s="648"/>
      <c r="L9" s="90"/>
      <c r="M9" s="90"/>
      <c r="R9" s="59"/>
      <c r="Z9" s="59"/>
      <c r="AF9" s="67"/>
      <c r="AG9"/>
      <c r="AH9"/>
      <c r="AJ9"/>
      <c r="AK9"/>
      <c r="AL9"/>
      <c r="AM9"/>
      <c r="AN9"/>
      <c r="AO9"/>
      <c r="AP9"/>
      <c r="AQ9"/>
      <c r="AR9"/>
      <c r="AS9"/>
      <c r="AT9"/>
      <c r="AU9"/>
      <c r="AV9" s="68"/>
      <c r="AY9"/>
      <c r="BB9"/>
      <c r="BC9" s="109"/>
      <c r="BE9"/>
      <c r="BF9"/>
      <c r="BG9"/>
      <c r="BN9" s="59"/>
    </row>
    <row r="10" spans="1:93" ht="23.25" hidden="1" customHeight="1">
      <c r="B10" s="62"/>
      <c r="C10" s="95"/>
      <c r="D10" s="96"/>
      <c r="E10" s="96"/>
      <c r="F10" s="96"/>
      <c r="G10" s="96"/>
      <c r="H10" s="89"/>
      <c r="N10" s="67"/>
      <c r="O10" s="67"/>
      <c r="R10" s="59"/>
      <c r="Z10" s="59"/>
      <c r="AG10"/>
      <c r="AH10"/>
      <c r="AJ10"/>
      <c r="AK10"/>
      <c r="AL10"/>
      <c r="AM10"/>
      <c r="AN10"/>
      <c r="AO10"/>
      <c r="AP10"/>
      <c r="AQ10"/>
      <c r="AR10"/>
      <c r="AS10"/>
      <c r="AT10"/>
      <c r="AU10"/>
      <c r="AV10" s="68"/>
      <c r="AY10"/>
      <c r="BB10"/>
      <c r="BC10" s="109"/>
      <c r="BE10"/>
      <c r="BF10"/>
      <c r="BG10"/>
      <c r="BN10" s="59"/>
    </row>
    <row r="11" spans="1:93" hidden="1"/>
    <row r="12" spans="1:93" ht="16.149999999999999" thickBot="1"/>
    <row r="13" spans="1:93" ht="40.5" customHeight="1" thickBot="1">
      <c r="C13" s="102"/>
      <c r="D13" s="649" t="s">
        <v>155</v>
      </c>
      <c r="E13" s="650"/>
      <c r="F13" s="650"/>
      <c r="G13" s="650"/>
      <c r="H13" s="650"/>
      <c r="I13" s="650"/>
      <c r="J13" s="650"/>
      <c r="K13" s="650"/>
      <c r="L13" s="650"/>
      <c r="M13" s="651"/>
      <c r="N13" s="66"/>
      <c r="P13" s="69"/>
      <c r="Q13" s="69"/>
      <c r="AL13" s="69"/>
      <c r="AM13" s="68"/>
      <c r="AN13" s="68"/>
      <c r="AO13"/>
      <c r="AP13"/>
      <c r="AQ13" s="146" t="s">
        <v>44</v>
      </c>
      <c r="AR13" s="146" t="s">
        <v>16</v>
      </c>
      <c r="AS13"/>
      <c r="AU13"/>
      <c r="AV13"/>
      <c r="AW13"/>
      <c r="AX13"/>
      <c r="AY13"/>
      <c r="AZ13"/>
      <c r="BA13" s="185" t="s">
        <v>265</v>
      </c>
      <c r="BB13" s="239"/>
      <c r="BC13" s="179" t="s">
        <v>111</v>
      </c>
      <c r="BD13" s="68" t="s">
        <v>292</v>
      </c>
      <c r="BE13" s="215" t="s">
        <v>280</v>
      </c>
      <c r="BF13" s="216" t="s">
        <v>240</v>
      </c>
      <c r="BG13" s="217" t="s">
        <v>281</v>
      </c>
      <c r="BH13" s="218" t="s">
        <v>172</v>
      </c>
      <c r="BI13" s="219" t="s">
        <v>254</v>
      </c>
      <c r="BJ13" s="218" t="s">
        <v>198</v>
      </c>
      <c r="BK13" s="220"/>
      <c r="BL13" s="232"/>
      <c r="BM13" s="207" t="s">
        <v>125</v>
      </c>
      <c r="BN13" s="208" t="s">
        <v>188</v>
      </c>
      <c r="BO13"/>
      <c r="BP13" s="209" t="s">
        <v>126</v>
      </c>
      <c r="BQ13" s="209" t="s">
        <v>127</v>
      </c>
      <c r="BR13" s="205"/>
      <c r="BS13" s="474"/>
      <c r="BT13" s="188" t="s">
        <v>270</v>
      </c>
      <c r="BU13" s="189" t="s">
        <v>272</v>
      </c>
      <c r="BV13" s="190" t="s">
        <v>197</v>
      </c>
      <c r="BW13" s="191" t="s">
        <v>273</v>
      </c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</row>
    <row r="14" spans="1:93" ht="30" customHeight="1" thickBot="1">
      <c r="C14" s="70" t="s">
        <v>156</v>
      </c>
      <c r="D14" s="70"/>
      <c r="E14" s="70"/>
      <c r="F14" s="636" t="s">
        <v>117</v>
      </c>
      <c r="G14" s="637"/>
      <c r="H14" s="558"/>
      <c r="I14" s="558"/>
      <c r="J14" s="558"/>
      <c r="K14" s="558"/>
      <c r="L14" s="638"/>
      <c r="M14" s="84"/>
      <c r="O14" s="93"/>
      <c r="AM14" s="68"/>
      <c r="AN14" s="97"/>
      <c r="AP14"/>
      <c r="AQ14" s="147" t="s">
        <v>13</v>
      </c>
      <c r="AR14" s="125" t="s">
        <v>128</v>
      </c>
      <c r="AS14"/>
      <c r="AU14"/>
      <c r="AV14"/>
      <c r="AW14"/>
      <c r="AX14"/>
      <c r="AY14"/>
      <c r="AZ14"/>
      <c r="BA14" s="180" t="s">
        <v>135</v>
      </c>
      <c r="BB14" s="107"/>
      <c r="BL14" s="210" t="s">
        <v>309</v>
      </c>
      <c r="BM14" s="107" t="s">
        <v>165</v>
      </c>
      <c r="BN14" s="187">
        <v>10000</v>
      </c>
      <c r="BO14"/>
      <c r="BP14" s="107"/>
      <c r="BQ14" s="187" t="s">
        <v>102</v>
      </c>
      <c r="BR14" s="206"/>
      <c r="BS14" s="475">
        <v>600</v>
      </c>
      <c r="BT14" s="192" t="s">
        <v>271</v>
      </c>
      <c r="BU14" s="151">
        <f>+BV14*1.8</f>
        <v>110102.40000000001</v>
      </c>
      <c r="BV14" s="151">
        <v>61168</v>
      </c>
      <c r="BW14" s="193">
        <v>600</v>
      </c>
      <c r="BX14" s="68"/>
      <c r="BY14" s="68"/>
      <c r="BZ14" s="68"/>
      <c r="CA14" s="68"/>
      <c r="CB14" s="68"/>
      <c r="CC14" s="68"/>
      <c r="CD14" s="68"/>
      <c r="CE14" s="68"/>
      <c r="CF14" s="68"/>
      <c r="CG14" s="68"/>
      <c r="CH14" s="68"/>
      <c r="CI14" s="68"/>
      <c r="CJ14" s="68"/>
      <c r="CK14" s="68"/>
      <c r="CL14" s="68"/>
      <c r="CM14" s="68"/>
      <c r="CN14" s="68"/>
      <c r="CO14" s="68"/>
    </row>
    <row r="15" spans="1:93" ht="47" customHeight="1">
      <c r="A15" s="59" t="s">
        <v>214</v>
      </c>
      <c r="C15" s="261" t="s">
        <v>626</v>
      </c>
      <c r="D15" s="262" t="s">
        <v>6</v>
      </c>
      <c r="E15" s="262" t="s">
        <v>231</v>
      </c>
      <c r="F15" s="262" t="s">
        <v>232</v>
      </c>
      <c r="G15" s="157" t="s">
        <v>625</v>
      </c>
      <c r="H15" s="263" t="s">
        <v>200</v>
      </c>
      <c r="I15" s="263" t="s">
        <v>201</v>
      </c>
      <c r="J15" s="263" t="s">
        <v>233</v>
      </c>
      <c r="K15" s="263" t="s">
        <v>234</v>
      </c>
      <c r="L15" s="263" t="s">
        <v>202</v>
      </c>
      <c r="M15" s="263" t="s">
        <v>203</v>
      </c>
      <c r="N15" s="263" t="s">
        <v>255</v>
      </c>
      <c r="O15" s="263" t="s">
        <v>235</v>
      </c>
      <c r="P15" s="264" t="s">
        <v>263</v>
      </c>
      <c r="Q15" s="264" t="s">
        <v>264</v>
      </c>
      <c r="R15" s="264" t="s">
        <v>236</v>
      </c>
      <c r="S15" s="264" t="s">
        <v>237</v>
      </c>
      <c r="T15" s="263" t="s">
        <v>238</v>
      </c>
      <c r="U15" s="262" t="s">
        <v>164</v>
      </c>
      <c r="V15" s="262" t="s">
        <v>161</v>
      </c>
      <c r="W15" s="262" t="s">
        <v>191</v>
      </c>
      <c r="X15" s="265" t="s">
        <v>624</v>
      </c>
      <c r="Y15" s="262" t="s">
        <v>144</v>
      </c>
      <c r="Z15" s="460" t="s">
        <v>239</v>
      </c>
      <c r="AC15" s="69" t="s">
        <v>244</v>
      </c>
      <c r="AD15" s="69" t="s">
        <v>245</v>
      </c>
      <c r="AE15" s="59" t="s">
        <v>283</v>
      </c>
      <c r="AF15" s="59" t="s">
        <v>282</v>
      </c>
      <c r="AG15" s="59" t="s">
        <v>290</v>
      </c>
      <c r="AH15" s="59" t="s">
        <v>291</v>
      </c>
      <c r="AL15" s="68"/>
      <c r="AM15" s="97"/>
      <c r="AO15"/>
      <c r="AP15" s="147" t="s">
        <v>39</v>
      </c>
      <c r="AQ15" s="125" t="s">
        <v>130</v>
      </c>
      <c r="AR15"/>
      <c r="AT15"/>
      <c r="AU15"/>
      <c r="AV15"/>
      <c r="AW15"/>
      <c r="AX15"/>
      <c r="AY15"/>
      <c r="BA15" s="181" t="s">
        <v>180</v>
      </c>
      <c r="BB15"/>
      <c r="BC15" s="68"/>
      <c r="BD15" s="68" t="s">
        <v>293</v>
      </c>
      <c r="BE15" s="221" t="s">
        <v>274</v>
      </c>
      <c r="BF15" s="200">
        <v>0.53</v>
      </c>
      <c r="BG15" s="201">
        <f>BJ15*1.5</f>
        <v>14506.5</v>
      </c>
      <c r="BH15" s="199">
        <v>15</v>
      </c>
      <c r="BI15" s="202">
        <v>0.5</v>
      </c>
      <c r="BJ15" s="201">
        <v>9671</v>
      </c>
      <c r="BK15" s="222" t="s">
        <v>284</v>
      </c>
      <c r="BL15" s="210" t="s">
        <v>310</v>
      </c>
      <c r="BM15" s="107" t="s">
        <v>308</v>
      </c>
      <c r="BN15" s="187">
        <v>7000</v>
      </c>
      <c r="BO15"/>
      <c r="BP15" t="s">
        <v>162</v>
      </c>
      <c r="BQ15" s="187">
        <v>5000</v>
      </c>
      <c r="BR15" s="206"/>
      <c r="BS15" s="475">
        <v>450</v>
      </c>
      <c r="BT15" s="192" t="s">
        <v>241</v>
      </c>
      <c r="BU15" s="151">
        <f>+BV15*1.8</f>
        <v>88471.8</v>
      </c>
      <c r="BV15" s="151">
        <v>49151</v>
      </c>
      <c r="BW15" s="193">
        <v>450</v>
      </c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</row>
    <row r="16" spans="1:93" ht="55.05" customHeight="1">
      <c r="A16" s="59" t="s">
        <v>215</v>
      </c>
      <c r="C16" s="165"/>
      <c r="D16" s="139">
        <f>'Nota de venta'!G10</f>
        <v>0</v>
      </c>
      <c r="E16" s="266">
        <f>IF('Nota de venta'!F10&gt;'Nota de venta'!E10,'Nota de venta'!F10,'Nota de venta'!E10)</f>
        <v>0</v>
      </c>
      <c r="F16" s="266">
        <f>IF('Nota de venta'!F10&lt;'Nota de venta'!E10,'Nota de venta'!F10,'Nota de venta'!E10)</f>
        <v>0</v>
      </c>
      <c r="G16" s="267"/>
      <c r="H16" s="268" t="str">
        <f>IF(ISTEXT(Tabla1[[#This Row],[Producto nro]]),IF(OR(Tabla1[[#This Row],[Producto nro]]="PERFIL 60 MM",Tabla1[[#This Row],[lado + corto]]&gt;1.4),"Malla Front Led 50x150 5k","Led Lateral Actilum M12 -6k, 90 cms max 1000mm"),"")</f>
        <v/>
      </c>
      <c r="I16" s="269" t="e">
        <f>VLOOKUP(H16,$BE$15:$BG$29,2,FALSE)</f>
        <v>#N/A</v>
      </c>
      <c r="J16" s="280" t="e">
        <f>TRUNC((E16-0.03)/I16)</f>
        <v>#N/A</v>
      </c>
      <c r="K16" s="283" t="e">
        <f>E16-(J16*I16)</f>
        <v>#N/A</v>
      </c>
      <c r="L16" s="268" t="str">
        <f>IF(Tabla1[[#This Row],[Producto nro]]="PERFIL 60 MM","sin luces","sin luces")</f>
        <v>sin luces</v>
      </c>
      <c r="M16" s="269">
        <f t="shared" ref="M16:M23" si="0">VLOOKUP(L16,$BE$15:$BG$29,$R26,FALSE)</f>
        <v>0</v>
      </c>
      <c r="N16" s="280">
        <f>IF(M16=0,0,TRUNC(K16/M16))</f>
        <v>0</v>
      </c>
      <c r="O16" s="139">
        <f>IF(Tabla1[[#This Row],[Producto nro]]="PERFIL 60 MM",1,
IF(Tabla1[[#This Row],[led 1]]="",0,
IF(Tabla1[[#This Row],[led 1]]="Led Lateral Actilum M12 -6k, 90 cms max 1000mm",
  IF(Tabla1[[#This Row],[lado + corto]]&lt;0.8,1,
    IF(Tabla1[[#This Row],[lado + corto]]&lt;140,2,0)),1)))</f>
        <v>0</v>
      </c>
      <c r="P16" s="281" t="e">
        <f>+$J16*$O16</f>
        <v>#N/A</v>
      </c>
      <c r="Q16" s="281">
        <f t="shared" ref="Q16:Q23" si="1">+$N16*$O16</f>
        <v>0</v>
      </c>
      <c r="R16" s="281" t="e">
        <f t="shared" ref="R16:R23" si="2">+P16*D16</f>
        <v>#N/A</v>
      </c>
      <c r="S16" s="281">
        <f t="shared" ref="S16:S23" si="3">+Q16*D16</f>
        <v>0</v>
      </c>
      <c r="T16" s="270">
        <f t="shared" ref="T16:T23" si="4">+E16*2+F16*2</f>
        <v>0</v>
      </c>
      <c r="U16" s="279" t="str">
        <f>IF(T16=0,"",IF(T16&lt;1,"ARMADO MINIMO",IF(T16&lt;=4,"ARMADO SIMPLE",IF(T16&lt;=6,"ARMADO MEDIO",IF(T16&lt;8,"ARMADO COMPLEJO","ARMADO JUMBO")))))</f>
        <v/>
      </c>
      <c r="V16" s="279" t="str">
        <f>IF(AND(Y16="",H16=""),"",IF(ISNUMBER(FIND("DOBLE",Y16)),"sin traseras",IF(OR(H16="Malla Front Led 50x150 5k",H16="malla front led 12v 6000 k"),"alucobond 122x244","trovicel  122")))</f>
        <v/>
      </c>
      <c r="W16" s="279" t="b">
        <f>IF(ISNUMBER(Tabla1[[#This Row],[WATTS]]),
IF(Tabla1[[#This Row],[WATTS]]&lt;35,VLOOKUP(35,$BS$14:$BT$22,2,FALSE),
IF(Tabla1[[#This Row],[WATTS]]&lt;50,VLOOKUP(50,$BS$14:$BT$22,2,FALSE),
IF(Tabla1[[#This Row],[WATTS]]&lt;75,VLOOKUP(75,$BS$14:$BT$22,2,FALSE),
IF(Tabla1[[#This Row],[WATTS]]&lt;100,VLOOKUP(100,$BS$14:$BT$22,2,FALSE),
IF(Tabla1[[#This Row],[WATTS]]&lt;150,VLOOKUP(150,$BS$14:$BT$22,2,FALSE),
IF(Tabla1[[#This Row],[WATTS]]&lt;200,VLOOKUP(200,$BS$14:$BT$22,2,FALSE),
IF(Tabla1[[#This Row],[WATTS]]&lt;350,VLOOKUP(350,$BS$14:$BT$22,2,FALSE),
IF(Tabla1[[#This Row],[WATTS]]&lt;=400,VLOOKUP(450,$BS$14:$BT$22,2,FALSE),
"2 FP 350 watts - 24v MEAN WELL")))))))))</f>
        <v>0</v>
      </c>
      <c r="X16" s="282" t="e">
        <f>+VLOOKUP(Tabla1[[#This Row],[led 1]],$BE$15:$BI$26,AA16,FALSE)*Tabla1[[#This Row],[luces 1 x caja]]+VLOOKUP(Tabla1[[#This Row],[led 2]],$BE$15:$BI$26,AA16,FALSE)*Tabla1[[#This Row],[luces 2 x caja]]</f>
        <v>#N/A</v>
      </c>
      <c r="Y16" s="279" t="str">
        <f>IF(C16="","",IF(ISNUMBER(FIND("6",C16)),"PERFIL 60 MM",IF(ISNUMBER(FIND("8",C16)),"PERFIL 80 MM", IF(ISNUMBER(FIND("10",C16)),IF(ISNUMBER(FIND("doble",C16)), "PERFIL 100 MM DOBLE", "PERFIL 100 MM SIMPLE"), "PERFIL 120 MM SIMPLE"))))</f>
        <v/>
      </c>
      <c r="Z16" s="461">
        <f>Tabla1[[#This Row],[mts lineales x caja]]*Tabla1[[#This Row],[Cantidad]]</f>
        <v>0</v>
      </c>
      <c r="AA16" s="59">
        <v>4</v>
      </c>
      <c r="AB16" s="59">
        <v>7</v>
      </c>
      <c r="AC16" s="230">
        <f t="shared" ref="AC16:AC23" si="5">+E16*F16/2</f>
        <v>0</v>
      </c>
      <c r="AD16" s="231" t="e">
        <f t="shared" ref="AD16:AD22" si="6">VLOOKUP(W16,$BT$14:$BW$22,$T26,FALSE)/X16</f>
        <v>#N/A</v>
      </c>
      <c r="AE16" s="71">
        <f t="shared" ref="AE16:AE23" si="7">+D16*1</f>
        <v>0</v>
      </c>
      <c r="AF16" s="59">
        <f t="shared" ref="AF16:AF23" si="8">1.5*D16</f>
        <v>0</v>
      </c>
      <c r="AG16" s="59" t="e">
        <f t="shared" ref="AG16:AG23" si="9">VLOOKUP(H16,$BE$15:$BK$23,AB16,FALSE)</f>
        <v>#N/A</v>
      </c>
      <c r="AH16" s="59">
        <f>VLOOKUP(L16,$BE$15:$BK$23,AB16,FALSE)</f>
        <v>0</v>
      </c>
      <c r="AL16" s="68"/>
      <c r="AM16" s="97"/>
      <c r="AO16"/>
      <c r="AP16" s="148" t="s">
        <v>107</v>
      </c>
      <c r="AQ16" s="125" t="s">
        <v>189</v>
      </c>
      <c r="AR16"/>
      <c r="AT16"/>
      <c r="AU16"/>
      <c r="AV16"/>
      <c r="AW16"/>
      <c r="AX16"/>
      <c r="AY16"/>
      <c r="AZ16"/>
      <c r="BA16" s="181" t="s">
        <v>129</v>
      </c>
      <c r="BB16"/>
      <c r="BC16" s="68"/>
      <c r="BD16" s="68" t="s">
        <v>294</v>
      </c>
      <c r="BE16" s="221" t="s">
        <v>275</v>
      </c>
      <c r="BF16" s="200">
        <v>0.33</v>
      </c>
      <c r="BG16" s="201">
        <f>+BJ16*1.5</f>
        <v>11196</v>
      </c>
      <c r="BH16" s="199">
        <v>9</v>
      </c>
      <c r="BI16" s="202">
        <v>0.5</v>
      </c>
      <c r="BJ16" s="201">
        <v>7464</v>
      </c>
      <c r="BK16" s="222" t="s">
        <v>285</v>
      </c>
      <c r="BL16" s="210" t="s">
        <v>311</v>
      </c>
      <c r="BM16" s="107" t="s">
        <v>133</v>
      </c>
      <c r="BN16" s="187">
        <v>6000</v>
      </c>
      <c r="BO16"/>
      <c r="BP16" t="s">
        <v>163</v>
      </c>
      <c r="BQ16" s="187">
        <f>10400*1.35</f>
        <v>14040.000000000002</v>
      </c>
      <c r="BR16" s="206"/>
      <c r="BS16" s="475">
        <v>350</v>
      </c>
      <c r="BT16" s="192" t="s">
        <v>183</v>
      </c>
      <c r="BU16" s="151">
        <f>+BV16*1.8</f>
        <v>40374</v>
      </c>
      <c r="BV16" s="151">
        <v>22430</v>
      </c>
      <c r="BW16" s="193">
        <v>350</v>
      </c>
      <c r="BX16" s="68"/>
      <c r="BY16" s="68"/>
      <c r="BZ16" s="68"/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  <c r="CO16" s="68"/>
    </row>
    <row r="17" spans="1:95" ht="48" customHeight="1">
      <c r="A17" s="59" t="s">
        <v>216</v>
      </c>
      <c r="C17" s="165"/>
      <c r="D17" s="139">
        <f>'Nota de venta'!G11</f>
        <v>0</v>
      </c>
      <c r="E17" s="266">
        <f>IF('Nota de venta'!F11&gt;'Nota de venta'!E11,'Nota de venta'!F11,'Nota de venta'!E11)</f>
        <v>0</v>
      </c>
      <c r="F17" s="266">
        <f>IF('Nota de venta'!F11&lt;'Nota de venta'!E11,'Nota de venta'!F11,'Nota de venta'!E11)</f>
        <v>0</v>
      </c>
      <c r="G17" s="267"/>
      <c r="H17" s="268" t="str">
        <f>IF(ISTEXT(Tabla1[[#This Row],[Producto nro]]),IF(OR(Tabla1[[#This Row],[Producto nro]]="PERFIL 60 MM",Tabla1[[#This Row],[lado + corto]]&gt;1.4),"Malla Front Led 50x150 5k","Led Lateral Actilum M12 -6k, 90 cms max 1000mm"),"")</f>
        <v/>
      </c>
      <c r="I17" s="269" t="e">
        <f t="shared" ref="I17:I23" si="10">VLOOKUP(H17,$BE$15:$BG$29,$R27,FALSE)</f>
        <v>#N/A</v>
      </c>
      <c r="J17" s="280" t="e">
        <f t="shared" ref="J17:J23" si="11">TRUNC((E17-0.03)/I17)</f>
        <v>#N/A</v>
      </c>
      <c r="K17" s="283" t="e">
        <f t="shared" ref="K17:K23" si="12">E17-(J17*I17)</f>
        <v>#N/A</v>
      </c>
      <c r="L17" s="268" t="str">
        <f>IF(Tabla1[[#This Row],[Producto nro]]="PERFIL 60 MM","sin luces","sin luces")</f>
        <v>sin luces</v>
      </c>
      <c r="M17" s="269">
        <f t="shared" si="0"/>
        <v>0</v>
      </c>
      <c r="N17" s="280">
        <f t="shared" ref="N17:N23" si="13">IF(M17=0,0,TRUNC(K17/M17))</f>
        <v>0</v>
      </c>
      <c r="O17" s="139">
        <f>IF(Tabla1[[#This Row],[Producto nro]]="PERFIL 60 MM",1,
IF(Tabla1[[#This Row],[led 1]]="",0,
IF(Tabla1[[#This Row],[led 1]]="Led Lateral Actilum M12 -6k, 90 cms max 1000mm",
  IF(Tabla1[[#This Row],[lado + corto]]&lt;0.8,1,
    IF(Tabla1[[#This Row],[lado + corto]]&lt;140,2,0)),1)))</f>
        <v>0</v>
      </c>
      <c r="P17" s="281" t="e">
        <f t="shared" ref="P17:P23" si="14">+$J17*$O17</f>
        <v>#N/A</v>
      </c>
      <c r="Q17" s="281">
        <f t="shared" si="1"/>
        <v>0</v>
      </c>
      <c r="R17" s="281" t="e">
        <f t="shared" si="2"/>
        <v>#N/A</v>
      </c>
      <c r="S17" s="281">
        <f t="shared" si="3"/>
        <v>0</v>
      </c>
      <c r="T17" s="270">
        <f t="shared" si="4"/>
        <v>0</v>
      </c>
      <c r="U17" s="279" t="str">
        <f t="shared" ref="U17:U23" si="15">IF(T17=0,"",IF(T17&lt;1,"ARMADO MINIMO",IF(T17&lt;=4,"ARMADO SIMPLE",IF(T17&lt;=6,"ARMADO MEDIO",IF(T17&lt;8,"ARMADO COMPLEJO","ARMADO JUMBO")))))</f>
        <v/>
      </c>
      <c r="V17" s="279" t="str">
        <f t="shared" ref="V17:V23" si="16">IF(AND(Y17="",H17=""),"",IF(ISNUMBER(FIND("DOBLE",Y17)),"sin traseras",IF(OR(H17="Malla Front Led 50x150 5k",H17="malla front led 12v 6000 k"),"alucobond 122x244","trovicel  122")))</f>
        <v/>
      </c>
      <c r="W17" s="279" t="b">
        <f>IF(ISNUMBER(Tabla1[[#This Row],[WATTS]]),
IF(Tabla1[[#This Row],[WATTS]]&lt;35,VLOOKUP(35,$BS$14:$BT$22,2,FALSE),
IF(Tabla1[[#This Row],[WATTS]]&lt;50,VLOOKUP(50,$BS$14:$BT$22,2,FALSE),
IF(Tabla1[[#This Row],[WATTS]]&lt;75,VLOOKUP(75,$BS$14:$BT$22,2,FALSE),
IF(Tabla1[[#This Row],[WATTS]]&lt;100,VLOOKUP(100,$BS$14:$BT$22,2,FALSE),
IF(Tabla1[[#This Row],[WATTS]]&lt;150,VLOOKUP(150,$BS$14:$BT$22,2,FALSE),
IF(Tabla1[[#This Row],[WATTS]]&lt;200,VLOOKUP(200,$BS$14:$BT$22,2,FALSE),
IF(Tabla1[[#This Row],[WATTS]]&lt;350,VLOOKUP(350,$BS$14:$BT$22,2,FALSE),
IF(Tabla1[[#This Row],[WATTS]]&lt;=400,VLOOKUP(450,$BS$14:$BT$22,2,FALSE),
"2 FP 350 watts - 24v MEAN WELL")))))))))</f>
        <v>0</v>
      </c>
      <c r="X17" s="282" t="e">
        <f>+VLOOKUP(Tabla1[[#This Row],[led 1]],$BE$15:$BI$26,AA17,FALSE)*Tabla1[[#This Row],[luces 1 x caja]]+VLOOKUP(Tabla1[[#This Row],[led 2]],$BE$15:$BI$26,AA17,FALSE)*Tabla1[[#This Row],[luces 2 x caja]]</f>
        <v>#N/A</v>
      </c>
      <c r="Y17" s="279" t="str">
        <f t="shared" ref="Y17:Y23" si="17">IF(C17="","",IF(ISNUMBER(FIND("6",C17)),"PERFIL 60 MM",IF(ISNUMBER(FIND("8",C17)),"PERFIL 80 MM", IF(ISNUMBER(FIND("10",C17)),IF(ISNUMBER(FIND("doble",C17)), "PERFIL 100 MM DOBLE", "PERFIL 100 MM SIMPLE"), "PERFIL 120 MM SIMPLE"))))</f>
        <v/>
      </c>
      <c r="Z17" s="461">
        <f>Tabla1[[#This Row],[mts lineales x caja]]*Tabla1[[#This Row],[Cantidad]]</f>
        <v>0</v>
      </c>
      <c r="AA17" s="59">
        <v>4</v>
      </c>
      <c r="AB17" s="59">
        <v>7</v>
      </c>
      <c r="AC17" s="230">
        <f t="shared" si="5"/>
        <v>0</v>
      </c>
      <c r="AD17" s="231" t="e">
        <f t="shared" si="6"/>
        <v>#N/A</v>
      </c>
      <c r="AE17" s="71">
        <f t="shared" si="7"/>
        <v>0</v>
      </c>
      <c r="AF17" s="59">
        <f t="shared" si="8"/>
        <v>0</v>
      </c>
      <c r="AG17" s="59" t="e">
        <f t="shared" si="9"/>
        <v>#N/A</v>
      </c>
      <c r="AH17" s="59" t="e" vm="1">
        <f t="shared" ref="AH17:AH23" si="18">VLOOKUP(L17,$BE$15:$BK$23,AC17,FALSE)</f>
        <v>#VALUE!</v>
      </c>
      <c r="AL17" s="68"/>
      <c r="AM17" s="97"/>
      <c r="AO17"/>
      <c r="AP17" s="68"/>
      <c r="AQ17" s="124" t="s">
        <v>134</v>
      </c>
      <c r="AR17"/>
      <c r="AT17"/>
      <c r="AU17"/>
      <c r="AV17"/>
      <c r="AW17"/>
      <c r="AX17"/>
      <c r="AY17"/>
      <c r="AZ17"/>
      <c r="BA17" s="181" t="s">
        <v>131</v>
      </c>
      <c r="BB17"/>
      <c r="BC17" s="68"/>
      <c r="BD17" s="59" t="s">
        <v>331</v>
      </c>
      <c r="BE17" s="221" t="s">
        <v>332</v>
      </c>
      <c r="BF17" s="200">
        <v>0.6</v>
      </c>
      <c r="BG17" s="201">
        <f>+BJ17*1.4</f>
        <v>25488.399999999998</v>
      </c>
      <c r="BH17" s="199">
        <v>21</v>
      </c>
      <c r="BI17" s="202">
        <v>1</v>
      </c>
      <c r="BJ17" s="201">
        <v>18206</v>
      </c>
      <c r="BK17" s="222" t="s">
        <v>331</v>
      </c>
      <c r="BL17" s="210" t="s">
        <v>312</v>
      </c>
      <c r="BM17" s="107" t="s">
        <v>136</v>
      </c>
      <c r="BN17" s="187">
        <v>5000</v>
      </c>
      <c r="BO17"/>
      <c r="BQ17" s="187"/>
      <c r="BR17" s="206"/>
      <c r="BS17" s="475">
        <v>200</v>
      </c>
      <c r="BT17" s="194" t="s">
        <v>185</v>
      </c>
      <c r="BU17" s="151">
        <f>+BV17*1.8</f>
        <v>32295.600000000002</v>
      </c>
      <c r="BV17" s="151">
        <v>17942</v>
      </c>
      <c r="BW17" s="193">
        <v>200</v>
      </c>
      <c r="BX17" s="68"/>
      <c r="BY17" s="68"/>
      <c r="BZ17" s="68"/>
      <c r="CA17" s="68"/>
      <c r="CB17" s="68"/>
      <c r="CC17" s="68"/>
      <c r="CD17" s="68"/>
      <c r="CE17" s="68"/>
      <c r="CF17" s="68"/>
      <c r="CG17" s="68"/>
      <c r="CH17" s="68"/>
      <c r="CI17" s="68"/>
      <c r="CJ17" s="68"/>
      <c r="CK17" s="68"/>
      <c r="CL17" s="68"/>
      <c r="CM17" s="68"/>
      <c r="CN17" s="68"/>
      <c r="CO17" s="68"/>
    </row>
    <row r="18" spans="1:95" ht="48" customHeight="1">
      <c r="A18" s="59" t="s">
        <v>217</v>
      </c>
      <c r="C18" s="165"/>
      <c r="D18" s="139">
        <f>'Nota de venta'!G12</f>
        <v>0</v>
      </c>
      <c r="E18" s="266">
        <f>IF('Nota de venta'!F12&gt;'Nota de venta'!E12,'Nota de venta'!F12,'Nota de venta'!E12)</f>
        <v>0</v>
      </c>
      <c r="F18" s="266">
        <f>IF('Nota de venta'!F12&lt;'Nota de venta'!E12,'Nota de venta'!F12,'Nota de venta'!E12)</f>
        <v>0</v>
      </c>
      <c r="G18" s="267"/>
      <c r="H18" s="268" t="str">
        <f>IF(ISTEXT(Tabla1[[#This Row],[Producto nro]]),IF(OR(Tabla1[[#This Row],[Producto nro]]="PERFIL 60 MM",Tabla1[[#This Row],[lado + corto]]&gt;1.4),"Malla Front Led 50x150 5k","Led Lateral Actilum M12 -6k, 90 cms max 1000mm"),"")</f>
        <v/>
      </c>
      <c r="I18" s="269" t="e">
        <f t="shared" si="10"/>
        <v>#N/A</v>
      </c>
      <c r="J18" s="280" t="e">
        <f t="shared" si="11"/>
        <v>#N/A</v>
      </c>
      <c r="K18" s="283" t="e">
        <f t="shared" si="12"/>
        <v>#N/A</v>
      </c>
      <c r="L18" s="268" t="str">
        <f>IF(Tabla1[[#This Row],[Producto nro]]="PERFIL 60 MM","sin luces","sin luces")</f>
        <v>sin luces</v>
      </c>
      <c r="M18" s="269">
        <f t="shared" si="0"/>
        <v>0</v>
      </c>
      <c r="N18" s="280">
        <f t="shared" si="13"/>
        <v>0</v>
      </c>
      <c r="O18" s="139">
        <f>IF(Tabla1[[#This Row],[Producto nro]]="PERFIL 60 MM",1,
IF(Tabla1[[#This Row],[led 1]]="",0,
IF(Tabla1[[#This Row],[led 1]]="Led Lateral Actilum M12 -6k, 90 cms max 1000mm",
  IF(Tabla1[[#This Row],[lado + corto]]&lt;0.8,1,
    IF(Tabla1[[#This Row],[lado + corto]]&lt;140,2,0)),1)))</f>
        <v>0</v>
      </c>
      <c r="P18" s="281" t="e">
        <f>+$J18*$O18</f>
        <v>#N/A</v>
      </c>
      <c r="Q18" s="281">
        <f>+$N18*$O18</f>
        <v>0</v>
      </c>
      <c r="R18" s="281" t="e">
        <f t="shared" si="2"/>
        <v>#N/A</v>
      </c>
      <c r="S18" s="281">
        <f t="shared" si="3"/>
        <v>0</v>
      </c>
      <c r="T18" s="270">
        <f t="shared" si="4"/>
        <v>0</v>
      </c>
      <c r="U18" s="279" t="str">
        <f t="shared" si="15"/>
        <v/>
      </c>
      <c r="V18" s="279" t="str">
        <f t="shared" si="16"/>
        <v/>
      </c>
      <c r="W18" s="279" t="b">
        <f>IF(ISNUMBER(Tabla1[[#This Row],[WATTS]]),
IF(Tabla1[[#This Row],[WATTS]]&lt;35,VLOOKUP(35,$BS$14:$BT$22,2,FALSE),
IF(Tabla1[[#This Row],[WATTS]]&lt;50,VLOOKUP(50,$BS$14:$BT$22,2,FALSE),
IF(Tabla1[[#This Row],[WATTS]]&lt;75,VLOOKUP(75,$BS$14:$BT$22,2,FALSE),
IF(Tabla1[[#This Row],[WATTS]]&lt;100,VLOOKUP(100,$BS$14:$BT$22,2,FALSE),
IF(Tabla1[[#This Row],[WATTS]]&lt;150,VLOOKUP(150,$BS$14:$BT$22,2,FALSE),
IF(Tabla1[[#This Row],[WATTS]]&lt;200,VLOOKUP(200,$BS$14:$BT$22,2,FALSE),
IF(Tabla1[[#This Row],[WATTS]]&lt;350,VLOOKUP(350,$BS$14:$BT$22,2,FALSE),
IF(Tabla1[[#This Row],[WATTS]]&lt;=400,VLOOKUP(450,$BS$14:$BT$22,2,FALSE),
"2 FP 350 watts - 24v MEAN WELL")))))))))</f>
        <v>0</v>
      </c>
      <c r="X18" s="282" t="e">
        <f>+VLOOKUP(Tabla1[[#This Row],[led 1]],$BE$15:$BI$26,AA18,FALSE)*Tabla1[[#This Row],[luces 1 x caja]]+VLOOKUP(Tabla1[[#This Row],[led 2]],$BE$15:$BI$26,AA18,FALSE)*Tabla1[[#This Row],[luces 2 x caja]]</f>
        <v>#N/A</v>
      </c>
      <c r="Y18" s="279" t="str">
        <f t="shared" si="17"/>
        <v/>
      </c>
      <c r="Z18" s="461">
        <f>Tabla1[[#This Row],[mts lineales x caja]]*Tabla1[[#This Row],[Cantidad]]</f>
        <v>0</v>
      </c>
      <c r="AA18" s="59">
        <v>4</v>
      </c>
      <c r="AB18" s="59">
        <v>7</v>
      </c>
      <c r="AC18" s="230">
        <f t="shared" si="5"/>
        <v>0</v>
      </c>
      <c r="AD18" s="231" t="e">
        <f t="shared" si="6"/>
        <v>#N/A</v>
      </c>
      <c r="AE18" s="71">
        <f t="shared" si="7"/>
        <v>0</v>
      </c>
      <c r="AF18" s="59">
        <f t="shared" si="8"/>
        <v>0</v>
      </c>
      <c r="AG18" s="59" t="e">
        <f t="shared" si="9"/>
        <v>#N/A</v>
      </c>
      <c r="AH18" s="59" t="e" vm="1">
        <f t="shared" si="18"/>
        <v>#VALUE!</v>
      </c>
      <c r="AL18" s="68"/>
      <c r="AM18" s="97"/>
      <c r="AO18"/>
      <c r="AP18"/>
      <c r="AQ18" s="125" t="s">
        <v>137</v>
      </c>
      <c r="AR18"/>
      <c r="AS18"/>
      <c r="AT18"/>
      <c r="AU18"/>
      <c r="AV18"/>
      <c r="AW18"/>
      <c r="AX18"/>
      <c r="AY18"/>
      <c r="AZ18"/>
      <c r="BA18" s="180" t="s">
        <v>132</v>
      </c>
      <c r="BB18" s="107"/>
      <c r="BC18" s="68"/>
      <c r="BD18" s="68" t="s">
        <v>286</v>
      </c>
      <c r="BE18" s="221" t="s">
        <v>276</v>
      </c>
      <c r="BF18" s="200">
        <v>0.52</v>
      </c>
      <c r="BG18" s="201">
        <f>+BJ18*1.3</f>
        <v>23268.7</v>
      </c>
      <c r="BH18" s="199">
        <v>15</v>
      </c>
      <c r="BI18" s="202">
        <v>0.75</v>
      </c>
      <c r="BJ18" s="201">
        <v>17899</v>
      </c>
      <c r="BK18" s="222" t="s">
        <v>286</v>
      </c>
      <c r="BL18" s="210" t="s">
        <v>313</v>
      </c>
      <c r="BM18" s="107" t="s">
        <v>139</v>
      </c>
      <c r="BN18" s="187">
        <v>4500</v>
      </c>
      <c r="BO18"/>
      <c r="BP18" s="107" t="s">
        <v>196</v>
      </c>
      <c r="BQ18" s="187">
        <v>0</v>
      </c>
      <c r="BR18" s="206"/>
      <c r="BS18" s="475">
        <v>150</v>
      </c>
      <c r="BT18" s="194" t="s">
        <v>182</v>
      </c>
      <c r="BU18" s="151">
        <f>+BV18*1.7</f>
        <v>29088.7</v>
      </c>
      <c r="BV18" s="151">
        <v>17111</v>
      </c>
      <c r="BW18" s="193">
        <v>150</v>
      </c>
      <c r="BX18" s="68"/>
      <c r="BY18" s="68"/>
      <c r="BZ18" s="68"/>
      <c r="CA18" s="68"/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</row>
    <row r="19" spans="1:95" ht="48" customHeight="1">
      <c r="A19" s="59" t="s">
        <v>218</v>
      </c>
      <c r="C19" s="165"/>
      <c r="D19" s="139">
        <f>'Nota de venta'!G13</f>
        <v>0</v>
      </c>
      <c r="E19" s="266">
        <f>IF('Nota de venta'!F13&gt;'Nota de venta'!E13,'Nota de venta'!F13,'Nota de venta'!E13)</f>
        <v>0</v>
      </c>
      <c r="F19" s="266">
        <f>IF('Nota de venta'!F13&lt;'Nota de venta'!E13,'Nota de venta'!F13,'Nota de venta'!E13)</f>
        <v>0</v>
      </c>
      <c r="G19" s="267"/>
      <c r="H19" s="268" t="str">
        <f>IF(ISTEXT(Tabla1[[#This Row],[Producto nro]]),IF(OR(Tabla1[[#This Row],[Producto nro]]="PERFIL 60 MM",Tabla1[[#This Row],[lado + corto]]&gt;1.4),"Malla Front Led 50x150 5k","Led Lateral Actilum M12 -6k, 90 cms max 1000mm"),"")</f>
        <v/>
      </c>
      <c r="I19" s="269" t="e">
        <f t="shared" si="10"/>
        <v>#N/A</v>
      </c>
      <c r="J19" s="280" t="e">
        <f t="shared" si="11"/>
        <v>#N/A</v>
      </c>
      <c r="K19" s="283" t="e">
        <f t="shared" si="12"/>
        <v>#N/A</v>
      </c>
      <c r="L19" s="268" t="str">
        <f>IF(Tabla1[[#This Row],[Producto nro]]="PERFIL 60 MM","sin luces","sin luces")</f>
        <v>sin luces</v>
      </c>
      <c r="M19" s="269">
        <f t="shared" si="0"/>
        <v>0</v>
      </c>
      <c r="N19" s="280">
        <f t="shared" si="13"/>
        <v>0</v>
      </c>
      <c r="O19" s="139">
        <f>IF(Tabla1[[#This Row],[Producto nro]]="PERFIL 60 MM",1,
IF(Tabla1[[#This Row],[led 1]]="",0,
IF(Tabla1[[#This Row],[led 1]]="Led Lateral Actilum M12 -6k, 90 cms max 1000mm",
  IF(Tabla1[[#This Row],[lado + corto]]&lt;0.8,1,
    IF(Tabla1[[#This Row],[lado + corto]]&lt;140,2,0)),1)))</f>
        <v>0</v>
      </c>
      <c r="P19" s="281" t="e">
        <f t="shared" si="14"/>
        <v>#N/A</v>
      </c>
      <c r="Q19" s="281">
        <f t="shared" si="1"/>
        <v>0</v>
      </c>
      <c r="R19" s="281" t="e">
        <f t="shared" si="2"/>
        <v>#N/A</v>
      </c>
      <c r="S19" s="281">
        <f t="shared" si="3"/>
        <v>0</v>
      </c>
      <c r="T19" s="270">
        <f t="shared" si="4"/>
        <v>0</v>
      </c>
      <c r="U19" s="279" t="str">
        <f t="shared" si="15"/>
        <v/>
      </c>
      <c r="V19" s="279" t="str">
        <f t="shared" si="16"/>
        <v/>
      </c>
      <c r="W19" s="279" t="b">
        <f>IF(ISNUMBER(Tabla1[[#This Row],[WATTS]]),
IF(Tabla1[[#This Row],[WATTS]]&lt;35,VLOOKUP(35,$BS$14:$BT$22,2,FALSE),
IF(Tabla1[[#This Row],[WATTS]]&lt;50,VLOOKUP(50,$BS$14:$BT$22,2,FALSE),
IF(Tabla1[[#This Row],[WATTS]]&lt;75,VLOOKUP(75,$BS$14:$BT$22,2,FALSE),
IF(Tabla1[[#This Row],[WATTS]]&lt;100,VLOOKUP(100,$BS$14:$BT$22,2,FALSE),
IF(Tabla1[[#This Row],[WATTS]]&lt;150,VLOOKUP(150,$BS$14:$BT$22,2,FALSE),
IF(Tabla1[[#This Row],[WATTS]]&lt;200,VLOOKUP(200,$BS$14:$BT$22,2,FALSE),
IF(Tabla1[[#This Row],[WATTS]]&lt;350,VLOOKUP(350,$BS$14:$BT$22,2,FALSE),
IF(Tabla1[[#This Row],[WATTS]]&lt;=400,VLOOKUP(450,$BS$14:$BT$22,2,FALSE),
"2 FP 350 watts - 24v MEAN WELL")))))))))</f>
        <v>0</v>
      </c>
      <c r="X19" s="282" t="e">
        <f>+VLOOKUP(Tabla1[[#This Row],[led 1]],$BE$15:$BI$26,AA19,FALSE)*Tabla1[[#This Row],[luces 1 x caja]]+VLOOKUP(Tabla1[[#This Row],[led 2]],$BE$15:$BI$26,AA19,FALSE)*Tabla1[[#This Row],[luces 2 x caja]]</f>
        <v>#N/A</v>
      </c>
      <c r="Y19" s="279" t="str">
        <f t="shared" si="17"/>
        <v/>
      </c>
      <c r="Z19" s="461">
        <f>Tabla1[[#This Row],[mts lineales x caja]]*Tabla1[[#This Row],[Cantidad]]</f>
        <v>0</v>
      </c>
      <c r="AA19" s="59">
        <v>4</v>
      </c>
      <c r="AB19" s="59">
        <v>7</v>
      </c>
      <c r="AC19" s="230">
        <f t="shared" si="5"/>
        <v>0</v>
      </c>
      <c r="AD19" s="231" t="e">
        <f t="shared" si="6"/>
        <v>#N/A</v>
      </c>
      <c r="AE19" s="71">
        <f t="shared" si="7"/>
        <v>0</v>
      </c>
      <c r="AF19" s="59">
        <f t="shared" si="8"/>
        <v>0</v>
      </c>
      <c r="AG19" s="59" t="e">
        <f t="shared" si="9"/>
        <v>#N/A</v>
      </c>
      <c r="AH19" s="59" t="e" vm="1">
        <f t="shared" si="18"/>
        <v>#VALUE!</v>
      </c>
      <c r="AL19" s="68"/>
      <c r="AM19" s="97"/>
      <c r="AO19"/>
      <c r="AP19"/>
      <c r="AQ19" s="125" t="s">
        <v>140</v>
      </c>
      <c r="AR19"/>
      <c r="AS19"/>
      <c r="AT19"/>
      <c r="AU19"/>
      <c r="AV19"/>
      <c r="AW19"/>
      <c r="AX19"/>
      <c r="AY19"/>
      <c r="AZ19"/>
      <c r="BA19" s="181" t="s">
        <v>138</v>
      </c>
      <c r="BB19"/>
      <c r="BC19" s="68"/>
      <c r="BD19" s="68" t="s">
        <v>287</v>
      </c>
      <c r="BE19" s="194" t="s">
        <v>277</v>
      </c>
      <c r="BF19" s="200">
        <v>0.35</v>
      </c>
      <c r="BG19" s="201">
        <f>+BJ19*1.3</f>
        <v>15512.9</v>
      </c>
      <c r="BH19" s="199">
        <v>10</v>
      </c>
      <c r="BI19" s="202">
        <v>0.75</v>
      </c>
      <c r="BJ19" s="201">
        <v>11933</v>
      </c>
      <c r="BK19" s="222" t="s">
        <v>287</v>
      </c>
      <c r="BL19" s="210"/>
      <c r="BM19" s="107" t="s">
        <v>166</v>
      </c>
      <c r="BN19" s="187">
        <v>10000</v>
      </c>
      <c r="BO19"/>
      <c r="BP19" s="68"/>
      <c r="BQ19" s="68"/>
      <c r="BR19" s="68"/>
      <c r="BS19" s="68">
        <v>100</v>
      </c>
      <c r="BT19" s="192" t="s">
        <v>184</v>
      </c>
      <c r="BU19" s="151">
        <f>+BV19*1.7</f>
        <v>18793.5</v>
      </c>
      <c r="BV19" s="151">
        <v>11055</v>
      </c>
      <c r="BW19" s="193">
        <v>100</v>
      </c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</row>
    <row r="20" spans="1:95" ht="48" customHeight="1">
      <c r="C20" s="165"/>
      <c r="D20" s="139">
        <f>'Nota de venta'!G14</f>
        <v>0</v>
      </c>
      <c r="E20" s="266">
        <f>IF('Nota de venta'!F14&gt;'Nota de venta'!E14,'Nota de venta'!F14,'Nota de venta'!E14)</f>
        <v>0</v>
      </c>
      <c r="F20" s="266">
        <f>IF('Nota de venta'!F14&lt;'Nota de venta'!E14,'Nota de venta'!F14,'Nota de venta'!E14)</f>
        <v>0</v>
      </c>
      <c r="G20" s="267"/>
      <c r="H20" s="268" t="str">
        <f>IF(ISTEXT(Tabla1[[#This Row],[Producto nro]]),IF(OR(Tabla1[[#This Row],[Producto nro]]="PERFIL 60 MM",Tabla1[[#This Row],[lado + corto]]&gt;1.4),"Malla Front Led 50x150 5k","Led Lateral Actilum M12 -6k, 90 cms max 1000mm"),"")</f>
        <v/>
      </c>
      <c r="I20" s="269" t="e">
        <f t="shared" si="10"/>
        <v>#N/A</v>
      </c>
      <c r="J20" s="280" t="e">
        <f t="shared" si="11"/>
        <v>#N/A</v>
      </c>
      <c r="K20" s="283" t="e">
        <f t="shared" si="12"/>
        <v>#N/A</v>
      </c>
      <c r="L20" s="268" t="str">
        <f>IF(Tabla1[[#This Row],[Producto nro]]="PERFIL 60 MM","sin luces","sin luces")</f>
        <v>sin luces</v>
      </c>
      <c r="M20" s="269">
        <f t="shared" si="0"/>
        <v>0</v>
      </c>
      <c r="N20" s="280">
        <f t="shared" si="13"/>
        <v>0</v>
      </c>
      <c r="O20" s="139">
        <f>IF(Tabla1[[#This Row],[Producto nro]]="PERFIL 60 MM",1,
IF(Tabla1[[#This Row],[led 1]]="",0,
IF(Tabla1[[#This Row],[led 1]]="Led Lateral Actilum M12 -6k, 90 cms max 1000mm",
  IF(Tabla1[[#This Row],[lado + corto]]&lt;0.8,1,
    IF(Tabla1[[#This Row],[lado + corto]]&lt;140,2,0)),1)))</f>
        <v>0</v>
      </c>
      <c r="P20" s="281" t="e">
        <f t="shared" si="14"/>
        <v>#N/A</v>
      </c>
      <c r="Q20" s="281">
        <f>+$N20*$O20</f>
        <v>0</v>
      </c>
      <c r="R20" s="281" t="e">
        <f t="shared" si="2"/>
        <v>#N/A</v>
      </c>
      <c r="S20" s="281">
        <f t="shared" si="3"/>
        <v>0</v>
      </c>
      <c r="T20" s="270">
        <f t="shared" si="4"/>
        <v>0</v>
      </c>
      <c r="U20" s="279" t="str">
        <f t="shared" si="15"/>
        <v/>
      </c>
      <c r="V20" s="279" t="str">
        <f t="shared" si="16"/>
        <v/>
      </c>
      <c r="W20" s="279" t="b">
        <f>IF(ISNUMBER(Tabla1[[#This Row],[WATTS]]),
IF(Tabla1[[#This Row],[WATTS]]&lt;35,VLOOKUP(35,$BS$14:$BT$22,2,FALSE),
IF(Tabla1[[#This Row],[WATTS]]&lt;50,VLOOKUP(50,$BS$14:$BT$22,2,FALSE),
IF(Tabla1[[#This Row],[WATTS]]&lt;75,VLOOKUP(75,$BS$14:$BT$22,2,FALSE),
IF(Tabla1[[#This Row],[WATTS]]&lt;100,VLOOKUP(100,$BS$14:$BT$22,2,FALSE),
IF(Tabla1[[#This Row],[WATTS]]&lt;150,VLOOKUP(150,$BS$14:$BT$22,2,FALSE),
IF(Tabla1[[#This Row],[WATTS]]&lt;200,VLOOKUP(200,$BS$14:$BT$22,2,FALSE),
IF(Tabla1[[#This Row],[WATTS]]&lt;350,VLOOKUP(350,$BS$14:$BT$22,2,FALSE),
IF(Tabla1[[#This Row],[WATTS]]&lt;=400,VLOOKUP(450,$BS$14:$BT$22,2,FALSE),
"2 FP 350 watts - 24v MEAN WELL")))))))))</f>
        <v>0</v>
      </c>
      <c r="X20" s="282" t="e">
        <f>+VLOOKUP(Tabla1[[#This Row],[led 1]],$BE$15:$BI$26,AA20,FALSE)*Tabla1[[#This Row],[luces 1 x caja]]+VLOOKUP(Tabla1[[#This Row],[led 2]],$BE$15:$BI$26,AA20,FALSE)*Tabla1[[#This Row],[luces 2 x caja]]</f>
        <v>#N/A</v>
      </c>
      <c r="Y20" s="279" t="str">
        <f t="shared" si="17"/>
        <v/>
      </c>
      <c r="Z20" s="461">
        <f>Tabla1[[#This Row],[mts lineales x caja]]*Tabla1[[#This Row],[Cantidad]]</f>
        <v>0</v>
      </c>
      <c r="AA20" s="59">
        <v>4</v>
      </c>
      <c r="AB20" s="59">
        <v>7</v>
      </c>
      <c r="AC20" s="230">
        <f t="shared" si="5"/>
        <v>0</v>
      </c>
      <c r="AD20" s="231" t="e">
        <f t="shared" si="6"/>
        <v>#N/A</v>
      </c>
      <c r="AE20" s="71">
        <f t="shared" si="7"/>
        <v>0</v>
      </c>
      <c r="AF20" s="59">
        <f t="shared" si="8"/>
        <v>0</v>
      </c>
      <c r="AG20" s="59" t="e">
        <f t="shared" si="9"/>
        <v>#N/A</v>
      </c>
      <c r="AH20" s="59" t="e" vm="1">
        <f t="shared" si="18"/>
        <v>#VALUE!</v>
      </c>
      <c r="AL20" s="68"/>
      <c r="AM20" s="97"/>
      <c r="AO20"/>
      <c r="AP20"/>
      <c r="AQ20" s="125" t="s">
        <v>190</v>
      </c>
      <c r="AR20"/>
      <c r="AS20"/>
      <c r="AT20"/>
      <c r="AU20"/>
      <c r="AV20"/>
      <c r="AW20"/>
      <c r="AX20"/>
      <c r="AY20"/>
      <c r="AZ20"/>
      <c r="BA20" s="181" t="s">
        <v>141</v>
      </c>
      <c r="BB20"/>
      <c r="BC20" s="68"/>
      <c r="BD20" s="68" t="s">
        <v>288</v>
      </c>
      <c r="BE20" s="194" t="s">
        <v>278</v>
      </c>
      <c r="BF20" s="202">
        <v>0.19</v>
      </c>
      <c r="BG20" s="201">
        <f>+BJ20*1.3</f>
        <v>7755.8</v>
      </c>
      <c r="BH20" s="202">
        <v>5</v>
      </c>
      <c r="BI20" s="202">
        <v>0.75</v>
      </c>
      <c r="BJ20" s="201">
        <v>5966</v>
      </c>
      <c r="BK20" s="222" t="s">
        <v>288</v>
      </c>
      <c r="BL20" s="210"/>
      <c r="BM20" s="107" t="s">
        <v>167</v>
      </c>
      <c r="BN20" s="187">
        <v>9500</v>
      </c>
      <c r="BO20"/>
      <c r="BP20" s="68"/>
      <c r="BQ20" s="68"/>
      <c r="BR20" s="68"/>
      <c r="BS20" s="68">
        <v>75</v>
      </c>
      <c r="BT20" s="195" t="s">
        <v>187</v>
      </c>
      <c r="BU20" s="151">
        <f>+BV20*1.5</f>
        <v>17628</v>
      </c>
      <c r="BV20" s="151">
        <v>11752</v>
      </c>
      <c r="BW20" s="193">
        <v>75</v>
      </c>
      <c r="BX20" s="68"/>
      <c r="BY20" s="68"/>
      <c r="BZ20" s="68"/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  <c r="CO20" s="68"/>
    </row>
    <row r="21" spans="1:95" ht="48" customHeight="1">
      <c r="C21" s="165"/>
      <c r="D21" s="139">
        <f>'Nota de venta'!G15</f>
        <v>0</v>
      </c>
      <c r="E21" s="266">
        <f>IF('Nota de venta'!F15&gt;'Nota de venta'!E15,'Nota de venta'!F15,'Nota de venta'!E15)</f>
        <v>0</v>
      </c>
      <c r="F21" s="266">
        <f>IF('Nota de venta'!F15&lt;'Nota de venta'!E15,'Nota de venta'!F15,'Nota de venta'!E15)</f>
        <v>0</v>
      </c>
      <c r="G21" s="267"/>
      <c r="H21" s="268" t="str">
        <f>IF(ISTEXT(Tabla1[[#This Row],[Producto nro]]),IF(OR(Tabla1[[#This Row],[Producto nro]]="PERFIL 60 MM",Tabla1[[#This Row],[lado + corto]]&gt;1.4),"Malla Front Led 50x150 5k","Led Lateral Actilum M12 -6k, 90 cms max 1000mm"),"")</f>
        <v/>
      </c>
      <c r="I21" s="269" t="e">
        <f t="shared" si="10"/>
        <v>#N/A</v>
      </c>
      <c r="J21" s="280" t="e">
        <f t="shared" si="11"/>
        <v>#N/A</v>
      </c>
      <c r="K21" s="283" t="e">
        <f t="shared" si="12"/>
        <v>#N/A</v>
      </c>
      <c r="L21" s="268" t="str">
        <f>IF(Tabla1[[#This Row],[Producto nro]]="PERFIL 60 MM","sin luces","sin luces")</f>
        <v>sin luces</v>
      </c>
      <c r="M21" s="269">
        <f t="shared" si="0"/>
        <v>0</v>
      </c>
      <c r="N21" s="280">
        <f t="shared" si="13"/>
        <v>0</v>
      </c>
      <c r="O21" s="139">
        <f>IF(Tabla1[[#This Row],[Producto nro]]="PERFIL 60 MM",1,
IF(Tabla1[[#This Row],[led 1]]="",0,
IF(Tabla1[[#This Row],[led 1]]="Led Lateral Actilum M12 -6k, 90 cms max 1000mm",
  IF(Tabla1[[#This Row],[lado + corto]]&lt;0.8,1,
    IF(Tabla1[[#This Row],[lado + corto]]&lt;140,2,0)),1)))</f>
        <v>0</v>
      </c>
      <c r="P21" s="281" t="e">
        <f t="shared" si="14"/>
        <v>#N/A</v>
      </c>
      <c r="Q21" s="281">
        <f t="shared" si="1"/>
        <v>0</v>
      </c>
      <c r="R21" s="281" t="e">
        <f t="shared" si="2"/>
        <v>#N/A</v>
      </c>
      <c r="S21" s="281">
        <f t="shared" si="3"/>
        <v>0</v>
      </c>
      <c r="T21" s="270">
        <f t="shared" si="4"/>
        <v>0</v>
      </c>
      <c r="U21" s="279" t="str">
        <f t="shared" si="15"/>
        <v/>
      </c>
      <c r="V21" s="279" t="str">
        <f t="shared" si="16"/>
        <v/>
      </c>
      <c r="W21" s="279" t="b">
        <f>IF(ISNUMBER(Tabla1[[#This Row],[WATTS]]),
IF(Tabla1[[#This Row],[WATTS]]&lt;35,VLOOKUP(35,$BS$14:$BT$22,2,FALSE),
IF(Tabla1[[#This Row],[WATTS]]&lt;50,VLOOKUP(50,$BS$14:$BT$22,2,FALSE),
IF(Tabla1[[#This Row],[WATTS]]&lt;75,VLOOKUP(75,$BS$14:$BT$22,2,FALSE),
IF(Tabla1[[#This Row],[WATTS]]&lt;100,VLOOKUP(100,$BS$14:$BT$22,2,FALSE),
IF(Tabla1[[#This Row],[WATTS]]&lt;150,VLOOKUP(150,$BS$14:$BT$22,2,FALSE),
IF(Tabla1[[#This Row],[WATTS]]&lt;200,VLOOKUP(200,$BS$14:$BT$22,2,FALSE),
IF(Tabla1[[#This Row],[WATTS]]&lt;350,VLOOKUP(350,$BS$14:$BT$22,2,FALSE),
IF(Tabla1[[#This Row],[WATTS]]&lt;=400,VLOOKUP(450,$BS$14:$BT$22,2,FALSE),
"2 FP 350 watts - 24v MEAN WELL")))))))))</f>
        <v>0</v>
      </c>
      <c r="X21" s="282" t="e">
        <f>+VLOOKUP(Tabla1[[#This Row],[led 1]],$BE$15:$BI$26,AA21,FALSE)*Tabla1[[#This Row],[luces 1 x caja]]+VLOOKUP(Tabla1[[#This Row],[led 2]],$BE$15:$BI$26,AA21,FALSE)*Tabla1[[#This Row],[luces 2 x caja]]</f>
        <v>#N/A</v>
      </c>
      <c r="Y21" s="279" t="str">
        <f t="shared" si="17"/>
        <v/>
      </c>
      <c r="Z21" s="461">
        <f>Tabla1[[#This Row],[mts lineales x caja]]*Tabla1[[#This Row],[Cantidad]]</f>
        <v>0</v>
      </c>
      <c r="AA21" s="59">
        <v>4</v>
      </c>
      <c r="AB21" s="59">
        <v>7</v>
      </c>
      <c r="AC21" s="230">
        <f t="shared" si="5"/>
        <v>0</v>
      </c>
      <c r="AD21" s="231" t="e">
        <f t="shared" si="6"/>
        <v>#N/A</v>
      </c>
      <c r="AE21" s="71">
        <f t="shared" si="7"/>
        <v>0</v>
      </c>
      <c r="AF21" s="59">
        <f t="shared" si="8"/>
        <v>0</v>
      </c>
      <c r="AG21" s="59" t="e">
        <f t="shared" si="9"/>
        <v>#N/A</v>
      </c>
      <c r="AH21" s="59" t="e" vm="1">
        <f t="shared" si="18"/>
        <v>#VALUE!</v>
      </c>
      <c r="AL21" s="68"/>
      <c r="AM21" s="97"/>
      <c r="AO21"/>
      <c r="AP21"/>
      <c r="AQ21" s="125"/>
      <c r="AR21"/>
      <c r="AS21"/>
      <c r="AT21"/>
      <c r="AU21"/>
      <c r="AV21"/>
      <c r="AW21"/>
      <c r="AX21"/>
      <c r="AY21"/>
      <c r="AZ21"/>
      <c r="BA21" s="181" t="s">
        <v>8</v>
      </c>
      <c r="BB21"/>
      <c r="BC21" s="68"/>
      <c r="BD21" s="68" t="s">
        <v>295</v>
      </c>
      <c r="BE21" s="223" t="s">
        <v>253</v>
      </c>
      <c r="BF21" s="200">
        <v>0.3</v>
      </c>
      <c r="BG21" s="201">
        <f>+BJ21*1.5</f>
        <v>40128</v>
      </c>
      <c r="BH21" s="199">
        <v>60</v>
      </c>
      <c r="BI21" s="202">
        <v>1</v>
      </c>
      <c r="BJ21" s="201">
        <v>26752</v>
      </c>
      <c r="BK21" s="222" t="s">
        <v>289</v>
      </c>
      <c r="BL21" s="210"/>
      <c r="BM21" s="107" t="s">
        <v>204</v>
      </c>
      <c r="BN21" s="59">
        <v>9000</v>
      </c>
      <c r="BO21"/>
      <c r="BP21" s="68"/>
      <c r="BQ21" s="68"/>
      <c r="BR21" s="68"/>
      <c r="BS21" s="68">
        <v>50</v>
      </c>
      <c r="BT21" s="195" t="s">
        <v>186</v>
      </c>
      <c r="BU21" s="151">
        <f>+BV21*1.5</f>
        <v>13680</v>
      </c>
      <c r="BV21" s="151">
        <v>9120</v>
      </c>
      <c r="BW21" s="193">
        <v>50</v>
      </c>
      <c r="BX21" s="68"/>
      <c r="BY21" s="68"/>
      <c r="BZ21" s="68"/>
      <c r="CA21" s="68"/>
      <c r="CB21" s="68"/>
      <c r="CC21" s="68"/>
      <c r="CD21" s="68"/>
      <c r="CE21" s="68"/>
      <c r="CF21" s="68"/>
      <c r="CG21" s="68"/>
      <c r="CH21" s="68"/>
      <c r="CI21" s="68"/>
      <c r="CJ21" s="68"/>
      <c r="CK21" s="68"/>
      <c r="CL21" s="68"/>
      <c r="CM21" s="68"/>
      <c r="CN21" s="68"/>
      <c r="CO21" s="68"/>
    </row>
    <row r="22" spans="1:95" ht="48" customHeight="1" thickBot="1">
      <c r="C22" s="165"/>
      <c r="D22" s="139">
        <f>'Nota de venta'!G16</f>
        <v>0</v>
      </c>
      <c r="E22" s="266">
        <f>IF('Nota de venta'!F16&gt;'Nota de venta'!E16,'Nota de venta'!F16,'Nota de venta'!E16)</f>
        <v>0</v>
      </c>
      <c r="F22" s="266">
        <f>IF('Nota de venta'!F16&lt;'Nota de venta'!E16,'Nota de venta'!F16,'Nota de venta'!E16)</f>
        <v>0</v>
      </c>
      <c r="G22" s="267"/>
      <c r="H22" s="268" t="str">
        <f>IF(ISTEXT(Tabla1[[#This Row],[Producto nro]]),IF(OR(Tabla1[[#This Row],[Producto nro]]="PERFIL 60 MM",Tabla1[[#This Row],[lado + corto]]&gt;1.4),"Malla Front Led 50x150 5k","Led Lateral Actilum M12 -6k, 90 cms max 1000mm"),"")</f>
        <v/>
      </c>
      <c r="I22" s="269" t="e">
        <f t="shared" si="10"/>
        <v>#N/A</v>
      </c>
      <c r="J22" s="280" t="e">
        <f t="shared" si="11"/>
        <v>#N/A</v>
      </c>
      <c r="K22" s="283" t="e">
        <f t="shared" si="12"/>
        <v>#N/A</v>
      </c>
      <c r="L22" s="268" t="str">
        <f>IF(Tabla1[[#This Row],[Producto nro]]="PERFIL 60 MM","sin luces","sin luces")</f>
        <v>sin luces</v>
      </c>
      <c r="M22" s="269">
        <f t="shared" si="0"/>
        <v>0</v>
      </c>
      <c r="N22" s="280">
        <f t="shared" si="13"/>
        <v>0</v>
      </c>
      <c r="O22" s="139">
        <f>IF(Tabla1[[#This Row],[Producto nro]]="PERFIL 60 MM",1,
IF(Tabla1[[#This Row],[led 1]]="",0,
IF(Tabla1[[#This Row],[led 1]]="Led Lateral Actilum M12 -6k, 90 cms max 1000mm",
  IF(Tabla1[[#This Row],[lado + corto]]&lt;0.8,1,
    IF(Tabla1[[#This Row],[lado + corto]]&lt;140,2,0)),1)))</f>
        <v>0</v>
      </c>
      <c r="P22" s="281" t="e">
        <f t="shared" si="14"/>
        <v>#N/A</v>
      </c>
      <c r="Q22" s="281">
        <f t="shared" si="1"/>
        <v>0</v>
      </c>
      <c r="R22" s="281" t="e">
        <f t="shared" si="2"/>
        <v>#N/A</v>
      </c>
      <c r="S22" s="281">
        <f t="shared" si="3"/>
        <v>0</v>
      </c>
      <c r="T22" s="270">
        <f t="shared" si="4"/>
        <v>0</v>
      </c>
      <c r="U22" s="279" t="str">
        <f t="shared" si="15"/>
        <v/>
      </c>
      <c r="V22" s="279" t="str">
        <f t="shared" si="16"/>
        <v/>
      </c>
      <c r="W22" s="279" t="b">
        <f>IF(ISNUMBER(Tabla1[[#This Row],[WATTS]]),
IF(Tabla1[[#This Row],[WATTS]]&lt;35,VLOOKUP(35,$BS$14:$BT$22,2,FALSE),
IF(Tabla1[[#This Row],[WATTS]]&lt;50,VLOOKUP(50,$BS$14:$BT$22,2,FALSE),
IF(Tabla1[[#This Row],[WATTS]]&lt;75,VLOOKUP(75,$BS$14:$BT$22,2,FALSE),
IF(Tabla1[[#This Row],[WATTS]]&lt;100,VLOOKUP(100,$BS$14:$BT$22,2,FALSE),
IF(Tabla1[[#This Row],[WATTS]]&lt;150,VLOOKUP(150,$BS$14:$BT$22,2,FALSE),
IF(Tabla1[[#This Row],[WATTS]]&lt;200,VLOOKUP(200,$BS$14:$BT$22,2,FALSE),
IF(Tabla1[[#This Row],[WATTS]]&lt;350,VLOOKUP(350,$BS$14:$BT$22,2,FALSE),
IF(Tabla1[[#This Row],[WATTS]]&lt;=400,VLOOKUP(450,$BS$14:$BT$22,2,FALSE),
"2 FP 350 watts - 24v MEAN WELL")))))))))</f>
        <v>0</v>
      </c>
      <c r="X22" s="282" t="e">
        <f>+VLOOKUP(Tabla1[[#This Row],[led 1]],$BE$15:$BI$26,AA22,FALSE)*Tabla1[[#This Row],[luces 1 x caja]]+VLOOKUP(Tabla1[[#This Row],[led 2]],$BE$15:$BI$26,AA22,FALSE)*Tabla1[[#This Row],[luces 2 x caja]]</f>
        <v>#N/A</v>
      </c>
      <c r="Y22" s="279" t="str">
        <f t="shared" si="17"/>
        <v/>
      </c>
      <c r="Z22" s="461">
        <f>Tabla1[[#This Row],[mts lineales x caja]]*Tabla1[[#This Row],[Cantidad]]</f>
        <v>0</v>
      </c>
      <c r="AA22" s="59">
        <v>4</v>
      </c>
      <c r="AB22" s="59">
        <v>7</v>
      </c>
      <c r="AC22" s="230">
        <f t="shared" si="5"/>
        <v>0</v>
      </c>
      <c r="AD22" s="231" t="e">
        <f t="shared" si="6"/>
        <v>#N/A</v>
      </c>
      <c r="AE22" s="71">
        <f t="shared" si="7"/>
        <v>0</v>
      </c>
      <c r="AF22" s="59">
        <f t="shared" si="8"/>
        <v>0</v>
      </c>
      <c r="AG22" s="59" t="e">
        <f t="shared" si="9"/>
        <v>#N/A</v>
      </c>
      <c r="AH22" s="59" t="e" vm="1">
        <f t="shared" si="18"/>
        <v>#VALUE!</v>
      </c>
      <c r="AL22" s="68"/>
      <c r="AM22" s="97"/>
      <c r="AO22"/>
      <c r="AP22"/>
      <c r="AQ22" s="125"/>
      <c r="AR22"/>
      <c r="AS22"/>
      <c r="AT22"/>
      <c r="AU22"/>
      <c r="AV22"/>
      <c r="AW22"/>
      <c r="AX22"/>
      <c r="AY22"/>
      <c r="AZ22"/>
      <c r="BA22" s="181" t="s">
        <v>143</v>
      </c>
      <c r="BB22"/>
      <c r="BC22" s="68"/>
      <c r="BD22" s="68" t="s">
        <v>296</v>
      </c>
      <c r="BE22" s="223" t="s">
        <v>622</v>
      </c>
      <c r="BF22" s="203">
        <v>0.3</v>
      </c>
      <c r="BG22" s="201">
        <v>25000</v>
      </c>
      <c r="BH22" s="199"/>
      <c r="BI22" s="202"/>
      <c r="BJ22" s="201"/>
      <c r="BK22" s="222" t="s">
        <v>297</v>
      </c>
      <c r="BL22" s="210"/>
      <c r="BM22" s="107" t="s">
        <v>168</v>
      </c>
      <c r="BN22" s="187">
        <v>8500</v>
      </c>
      <c r="BO22"/>
      <c r="BP22" s="68"/>
      <c r="BQ22" s="68"/>
      <c r="BR22" s="68"/>
      <c r="BS22" s="68">
        <v>35</v>
      </c>
      <c r="BT22" s="196" t="s">
        <v>247</v>
      </c>
      <c r="BU22" s="151">
        <f>+BV22*1.5</f>
        <v>13992</v>
      </c>
      <c r="BV22" s="197">
        <v>9328</v>
      </c>
      <c r="BW22" s="198">
        <v>35</v>
      </c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68"/>
      <c r="CM22" s="68"/>
      <c r="CN22" s="68"/>
      <c r="CO22" s="68"/>
    </row>
    <row r="23" spans="1:95" ht="48" customHeight="1" thickBot="1">
      <c r="A23" s="59" t="s">
        <v>219</v>
      </c>
      <c r="C23" s="462"/>
      <c r="D23" s="463">
        <f>'Nota de venta'!G17</f>
        <v>0</v>
      </c>
      <c r="E23" s="464">
        <f>IF('Nota de venta'!F17&gt;'Nota de venta'!E17,'Nota de venta'!F17,'Nota de venta'!E17)</f>
        <v>0</v>
      </c>
      <c r="F23" s="464">
        <f>IF('Nota de venta'!F17&lt;'Nota de venta'!E17,'Nota de venta'!F17,'Nota de venta'!E17)</f>
        <v>0</v>
      </c>
      <c r="G23" s="465"/>
      <c r="H23" s="268" t="str">
        <f>IF(ISTEXT(Tabla1[[#This Row],[Producto nro]]),IF(OR(Tabla1[[#This Row],[Producto nro]]="PERFIL 60 MM",Tabla1[[#This Row],[lado + corto]]&gt;1.4),"Malla Front Led 50x150 5k","Led Lateral Actilum M12 -6k, 90 cms max 1000mm"),"")</f>
        <v/>
      </c>
      <c r="I23" s="466" t="e">
        <f t="shared" si="10"/>
        <v>#N/A</v>
      </c>
      <c r="J23" s="467" t="e">
        <f t="shared" si="11"/>
        <v>#N/A</v>
      </c>
      <c r="K23" s="468" t="e">
        <f t="shared" si="12"/>
        <v>#N/A</v>
      </c>
      <c r="L23" s="268" t="str">
        <f>IF(Tabla1[[#This Row],[Producto nro]]="PERFIL 60 MM","sin luces","sin luces")</f>
        <v>sin luces</v>
      </c>
      <c r="M23" s="466">
        <f t="shared" si="0"/>
        <v>0</v>
      </c>
      <c r="N23" s="467">
        <f t="shared" si="13"/>
        <v>0</v>
      </c>
      <c r="O23" s="463">
        <f>IF(Tabla1[[#This Row],[Producto nro]]="PERFIL 60 MM",1,
IF(Tabla1[[#This Row],[led 1]]="",0,
IF(Tabla1[[#This Row],[led 1]]="Led Lateral Actilum M12 -6k, 90 cms max 1000mm",
  IF(Tabla1[[#This Row],[lado + corto]]&lt;0.8,1,
    IF(Tabla1[[#This Row],[lado + corto]]&lt;140,2,0)),1)))</f>
        <v>0</v>
      </c>
      <c r="P23" s="469" t="e">
        <f t="shared" si="14"/>
        <v>#N/A</v>
      </c>
      <c r="Q23" s="469">
        <f t="shared" si="1"/>
        <v>0</v>
      </c>
      <c r="R23" s="469" t="e">
        <f t="shared" si="2"/>
        <v>#N/A</v>
      </c>
      <c r="S23" s="469">
        <f t="shared" si="3"/>
        <v>0</v>
      </c>
      <c r="T23" s="470">
        <f t="shared" si="4"/>
        <v>0</v>
      </c>
      <c r="U23" s="471" t="str">
        <f t="shared" si="15"/>
        <v/>
      </c>
      <c r="V23" s="471" t="str">
        <f t="shared" si="16"/>
        <v/>
      </c>
      <c r="W23" s="471" t="b">
        <f>IF(ISNUMBER(Tabla1[[#This Row],[WATTS]]),
IF(Tabla1[[#This Row],[WATTS]]&lt;35,VLOOKUP(35,$BS$14:$BT$22,2,FALSE),
IF(Tabla1[[#This Row],[WATTS]]&lt;50,VLOOKUP(50,$BS$14:$BT$22,2,FALSE),
IF(Tabla1[[#This Row],[WATTS]]&lt;75,VLOOKUP(75,$BS$14:$BT$22,2,FALSE),
IF(Tabla1[[#This Row],[WATTS]]&lt;100,VLOOKUP(100,$BS$14:$BT$22,2,FALSE),
IF(Tabla1[[#This Row],[WATTS]]&lt;150,VLOOKUP(150,$BS$14:$BT$22,2,FALSE),
IF(Tabla1[[#This Row],[WATTS]]&lt;200,VLOOKUP(200,$BS$14:$BT$22,2,FALSE),
IF(Tabla1[[#This Row],[WATTS]]&lt;350,VLOOKUP(350,$BS$14:$BT$22,2,FALSE),
IF(Tabla1[[#This Row],[WATTS]]&lt;=400,VLOOKUP(450,$BS$14:$BT$22,2,FALSE),
"2 FP 350 watts - 24v MEAN WELL")))))))))</f>
        <v>0</v>
      </c>
      <c r="X23" s="472" t="e">
        <f>+VLOOKUP(Tabla1[[#This Row],[led 1]],$BE$15:$BI$26,AA23,FALSE)*Tabla1[[#This Row],[luces 1 x caja]]+VLOOKUP(Tabla1[[#This Row],[led 2]],$BE$15:$BI$26,AA23,FALSE)*Tabla1[[#This Row],[luces 2 x caja]]</f>
        <v>#N/A</v>
      </c>
      <c r="Y23" s="471" t="str">
        <f t="shared" si="17"/>
        <v/>
      </c>
      <c r="Z23" s="473">
        <f>Tabla1[[#This Row],[mts lineales x caja]]*Tabla1[[#This Row],[Cantidad]]</f>
        <v>0</v>
      </c>
      <c r="AA23" s="59">
        <v>4</v>
      </c>
      <c r="AB23" s="59">
        <v>7</v>
      </c>
      <c r="AC23" s="230">
        <f t="shared" si="5"/>
        <v>0</v>
      </c>
      <c r="AD23" s="231" t="e">
        <f>VLOOKUP(W23,$BT$14:$BW$22,$T30,FALSE)/X23</f>
        <v>#N/A</v>
      </c>
      <c r="AE23" s="71">
        <f t="shared" si="7"/>
        <v>0</v>
      </c>
      <c r="AF23" s="59">
        <f t="shared" si="8"/>
        <v>0</v>
      </c>
      <c r="AG23" s="59" t="e">
        <f t="shared" si="9"/>
        <v>#N/A</v>
      </c>
      <c r="AH23" s="59" t="e" vm="1">
        <f t="shared" si="18"/>
        <v>#VALUE!</v>
      </c>
      <c r="AL23" s="68"/>
      <c r="AM23" s="97"/>
      <c r="AO23"/>
      <c r="AP23"/>
      <c r="AR23"/>
      <c r="AS23"/>
      <c r="AT23"/>
      <c r="AU23"/>
      <c r="AV23"/>
      <c r="AW23"/>
      <c r="AX23"/>
      <c r="AY23"/>
      <c r="AZ23"/>
      <c r="BA23" s="181" t="s">
        <v>142</v>
      </c>
      <c r="BB23"/>
      <c r="BC23" s="68"/>
      <c r="BD23" s="68" t="s">
        <v>279</v>
      </c>
      <c r="BE23" s="224" t="s">
        <v>279</v>
      </c>
      <c r="BF23" s="225">
        <v>0</v>
      </c>
      <c r="BG23" s="226">
        <v>0</v>
      </c>
      <c r="BH23" s="227"/>
      <c r="BI23" s="228"/>
      <c r="BJ23" s="226"/>
      <c r="BK23" s="229"/>
      <c r="BL23" s="210"/>
      <c r="BM23" s="107" t="s">
        <v>169</v>
      </c>
      <c r="BN23" s="187">
        <v>8000</v>
      </c>
      <c r="BO23"/>
      <c r="BP23" s="68"/>
      <c r="BQ23" s="68"/>
      <c r="BR23" s="68"/>
      <c r="BS23" s="68"/>
      <c r="BT23" s="59" t="s">
        <v>635</v>
      </c>
      <c r="BU23" s="476">
        <f>BU16*2</f>
        <v>80748</v>
      </c>
      <c r="BV23" s="476">
        <f>BV16*2</f>
        <v>44860</v>
      </c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</row>
    <row r="24" spans="1:95" ht="48" customHeight="1" thickBot="1">
      <c r="A24" s="59" t="s">
        <v>220</v>
      </c>
      <c r="C24" s="126"/>
      <c r="D24" s="128">
        <f>SUM(D16:D23)</f>
        <v>0</v>
      </c>
      <c r="E24" s="127"/>
      <c r="F24" s="127"/>
      <c r="G24" s="68"/>
      <c r="H24" s="240"/>
      <c r="I24" s="241"/>
      <c r="J24" s="242"/>
      <c r="K24" s="243"/>
      <c r="L24" s="240"/>
      <c r="M24" s="241"/>
      <c r="N24" s="242"/>
      <c r="O24" s="128"/>
      <c r="P24" s="244"/>
      <c r="Q24" s="244"/>
      <c r="R24" s="128" t="e">
        <f>SUM(R16:R23)</f>
        <v>#N/A</v>
      </c>
      <c r="S24" s="128">
        <f>SUM(S16:S23)</f>
        <v>0</v>
      </c>
      <c r="T24" s="129"/>
      <c r="U24" s="126"/>
      <c r="V24" s="126"/>
      <c r="W24" s="126"/>
      <c r="X24" s="122"/>
      <c r="Y24" s="126"/>
      <c r="Z24" s="126"/>
      <c r="AA24" s="68"/>
      <c r="AB24" s="68"/>
      <c r="AC24" s="244"/>
      <c r="AD24" s="245"/>
      <c r="AE24" s="246"/>
      <c r="AF24" s="68"/>
      <c r="AG24" s="68"/>
      <c r="AH24" s="68"/>
      <c r="AN24" s="68"/>
      <c r="AO24" s="97"/>
      <c r="AQ24"/>
      <c r="AR24"/>
      <c r="AS24" s="125"/>
      <c r="AT24"/>
      <c r="AU24"/>
      <c r="AV24"/>
      <c r="AW24"/>
      <c r="AX24"/>
      <c r="AY24"/>
      <c r="AZ24"/>
      <c r="BA24" s="182" t="s">
        <v>266</v>
      </c>
      <c r="BB24"/>
      <c r="BC24" s="68"/>
      <c r="BD24" s="59" t="s">
        <v>333</v>
      </c>
      <c r="BE24" s="59" t="s">
        <v>334</v>
      </c>
      <c r="BF24" s="59">
        <v>0.45</v>
      </c>
      <c r="BG24" s="201">
        <f>BJ24*1.5</f>
        <v>24366</v>
      </c>
      <c r="BH24" s="59">
        <v>21</v>
      </c>
      <c r="BI24" s="59">
        <v>0.48</v>
      </c>
      <c r="BJ24" s="59">
        <v>16244</v>
      </c>
      <c r="BK24" s="59" t="s">
        <v>335</v>
      </c>
      <c r="BL24" s="210"/>
      <c r="BM24" s="107" t="s">
        <v>170</v>
      </c>
      <c r="BN24" s="187">
        <v>20000</v>
      </c>
      <c r="BO24"/>
      <c r="BP24" s="68"/>
      <c r="BQ24" s="68"/>
      <c r="BR24" s="68"/>
      <c r="BS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68"/>
      <c r="CL24" s="68"/>
      <c r="CM24" s="68"/>
      <c r="CN24" s="68"/>
      <c r="CO24" s="68"/>
    </row>
    <row r="25" spans="1:95" ht="48" customHeight="1" thickBot="1">
      <c r="A25" s="59" t="s">
        <v>221</v>
      </c>
      <c r="C25" s="68"/>
      <c r="D25" s="98" t="s">
        <v>242</v>
      </c>
      <c r="E25" s="99"/>
      <c r="F25" s="99"/>
      <c r="G25" s="99"/>
      <c r="H25" s="99"/>
      <c r="I25" s="99"/>
      <c r="J25" s="99"/>
      <c r="K25" s="99">
        <v>4000</v>
      </c>
      <c r="L25" s="100"/>
      <c r="M25" s="100"/>
      <c r="N25" s="101"/>
      <c r="O25" s="91"/>
      <c r="R25"/>
      <c r="S25"/>
      <c r="T25"/>
      <c r="U25" s="126"/>
      <c r="V25" s="126"/>
      <c r="W25" s="126"/>
      <c r="X25" s="122"/>
      <c r="Y25" s="126"/>
      <c r="Z25" s="126"/>
      <c r="AA25" s="68"/>
      <c r="AB25" s="68"/>
      <c r="AC25" s="244"/>
      <c r="AD25" s="245"/>
      <c r="AE25" s="246"/>
      <c r="AF25" s="68"/>
      <c r="AG25" s="68"/>
      <c r="AH25" s="68"/>
      <c r="AL25" s="68"/>
      <c r="AM25" s="97"/>
      <c r="AO25"/>
      <c r="AP25"/>
      <c r="AQ25" s="125"/>
      <c r="AR25"/>
      <c r="AS25"/>
      <c r="AT25"/>
      <c r="AU25"/>
      <c r="AV25"/>
      <c r="AW25"/>
      <c r="AX25"/>
      <c r="AY25"/>
      <c r="AZ25"/>
      <c r="BA25" s="180" t="s">
        <v>145</v>
      </c>
      <c r="BB25"/>
      <c r="BD25" s="68"/>
      <c r="BE25" s="213"/>
      <c r="BF25" s="214"/>
      <c r="BG25" s="210"/>
      <c r="BH25" s="211"/>
      <c r="BI25" s="212"/>
      <c r="BJ25" s="210"/>
      <c r="BK25" s="210"/>
      <c r="BL25" s="210"/>
      <c r="BM25" s="107" t="s">
        <v>148</v>
      </c>
      <c r="BN25" s="187">
        <v>25000</v>
      </c>
      <c r="BO25"/>
      <c r="BP25" s="68"/>
      <c r="BQ25" s="68"/>
      <c r="BR25" s="68"/>
      <c r="BS25" s="68"/>
      <c r="BX25" s="68"/>
      <c r="BY25" s="68"/>
      <c r="BZ25" s="68"/>
      <c r="CA25" s="68"/>
      <c r="CB25" s="68"/>
      <c r="CC25" s="68"/>
      <c r="CD25" s="68"/>
      <c r="CE25" s="68"/>
      <c r="CF25" s="68"/>
      <c r="CG25" s="68"/>
      <c r="CH25" s="68"/>
      <c r="CI25" s="68"/>
      <c r="CJ25" s="68"/>
      <c r="CK25" s="68"/>
      <c r="CL25" s="68"/>
      <c r="CM25" s="68"/>
      <c r="CN25" s="68"/>
      <c r="CO25" s="68"/>
    </row>
    <row r="26" spans="1:95" ht="48" customHeight="1" thickBot="1">
      <c r="A26" s="59" t="s">
        <v>222</v>
      </c>
      <c r="D26" s="249" t="s">
        <v>226</v>
      </c>
      <c r="E26" s="250" t="s">
        <v>227</v>
      </c>
      <c r="F26" s="250" t="s">
        <v>228</v>
      </c>
      <c r="G26" s="250"/>
      <c r="H26" s="250" t="s">
        <v>191</v>
      </c>
      <c r="I26" s="250" t="s">
        <v>118</v>
      </c>
      <c r="J26" s="250" t="s">
        <v>225</v>
      </c>
      <c r="K26" s="250" t="s">
        <v>314</v>
      </c>
      <c r="L26" s="250" t="s">
        <v>78</v>
      </c>
      <c r="M26" s="250" t="s">
        <v>79</v>
      </c>
      <c r="N26" s="250"/>
      <c r="O26" s="66"/>
      <c r="R26">
        <v>2</v>
      </c>
      <c r="S26">
        <v>3</v>
      </c>
      <c r="T26">
        <v>4</v>
      </c>
      <c r="U26" s="126"/>
      <c r="V26" s="126"/>
      <c r="W26" s="126"/>
      <c r="X26" s="122"/>
      <c r="Y26" s="126"/>
      <c r="Z26" s="126"/>
      <c r="AA26" s="68"/>
      <c r="AB26" s="68"/>
      <c r="AC26" s="244"/>
      <c r="AD26" s="245"/>
      <c r="AE26" s="246"/>
      <c r="AF26" s="68"/>
      <c r="AG26" s="68"/>
      <c r="AH26" s="68"/>
      <c r="AL26" s="68"/>
      <c r="AM26" s="97"/>
      <c r="AN26"/>
      <c r="AO26"/>
      <c r="AP26"/>
      <c r="AQ26" s="125"/>
      <c r="AR26"/>
      <c r="AS26"/>
      <c r="AT26"/>
      <c r="AU26"/>
      <c r="AV26"/>
      <c r="AW26"/>
      <c r="AX26"/>
      <c r="AY26"/>
      <c r="AZ26"/>
      <c r="BA26" s="183" t="s">
        <v>146</v>
      </c>
      <c r="BB26"/>
      <c r="BC26" s="68"/>
      <c r="BD26" s="68"/>
      <c r="BE26" s="213"/>
      <c r="BF26" s="214"/>
      <c r="BG26" s="210"/>
      <c r="BH26" s="211"/>
      <c r="BI26" s="212"/>
      <c r="BJ26" s="210"/>
      <c r="BK26" s="210"/>
      <c r="BL26" s="210"/>
      <c r="BM26" s="107" t="s">
        <v>181</v>
      </c>
      <c r="BN26" s="187">
        <v>10000</v>
      </c>
      <c r="BO26"/>
      <c r="BP26" s="68"/>
      <c r="BQ26" s="68"/>
      <c r="BR26" s="68"/>
      <c r="BS26" s="68"/>
      <c r="BW26" s="68"/>
      <c r="BX26" s="68"/>
      <c r="BY26" s="68"/>
      <c r="BZ26" s="68"/>
      <c r="CA26" s="68"/>
      <c r="CB26" s="68"/>
      <c r="CC26" s="68"/>
      <c r="CD26" s="68"/>
      <c r="CE26" s="68"/>
      <c r="CF26" s="68"/>
      <c r="CG26" s="68"/>
      <c r="CH26" s="68"/>
      <c r="CI26" s="68"/>
      <c r="CJ26" s="68"/>
      <c r="CK26" s="68"/>
      <c r="CL26" s="68"/>
      <c r="CM26" s="68"/>
      <c r="CN26" s="68"/>
      <c r="CO26" s="68"/>
    </row>
    <row r="27" spans="1:95" ht="40.049999999999997" customHeight="1" thickBot="1">
      <c r="A27" s="59" t="s">
        <v>224</v>
      </c>
      <c r="C27" s="456">
        <f t="shared" ref="C27:C34" si="19">C16</f>
        <v>0</v>
      </c>
      <c r="D27" s="457" t="e">
        <f>VLOOKUP(H16,$BE$15:$BG$29,$S26,FALSE)*P16+VLOOKUP(L16,$BE$15:$BG$29,$S26,FALSE)*Q16</f>
        <v>#N/A</v>
      </c>
      <c r="E27" s="457" t="e">
        <f t="shared" ref="E27:E34" si="20">VLOOKUP($V16,$BP$14:$BQ$36,$R26,FALSE)*E16*F16</f>
        <v>#N/A</v>
      </c>
      <c r="F27" s="457" t="e">
        <f t="shared" ref="F27:F34" si="21">VLOOKUP($U16,$BL$14:$BN$66,$S26,FALSE)*T16</f>
        <v>#N/A</v>
      </c>
      <c r="G27" s="457"/>
      <c r="H27" s="457" t="e">
        <f>(VLOOKUP($W16,$BT$14:$BW$23,$R26,FALSE))</f>
        <v>#N/A</v>
      </c>
      <c r="I27" s="457" t="e">
        <f t="shared" ref="I27:I34" si="22">(VLOOKUP($Y16,$BT$28:$BV$32,$R26,FALSE))*T16</f>
        <v>#N/A</v>
      </c>
      <c r="J27" s="457"/>
      <c r="K27" s="457">
        <f t="shared" ref="K27:K34" si="23">+T16*$K$25</f>
        <v>0</v>
      </c>
      <c r="L27" s="457" t="e">
        <f>+D27+E27+F27+H27+I27+K27+J27</f>
        <v>#N/A</v>
      </c>
      <c r="M27" s="458" t="e">
        <f t="shared" ref="M27:M34" si="24">+L27*D16</f>
        <v>#N/A</v>
      </c>
      <c r="N27" s="459"/>
      <c r="O27" s="105"/>
      <c r="R27">
        <v>2</v>
      </c>
      <c r="S27">
        <v>3</v>
      </c>
      <c r="T27">
        <v>4</v>
      </c>
      <c r="W27" s="92"/>
      <c r="X27" s="67"/>
      <c r="Y27" s="67"/>
      <c r="Z27" s="168">
        <f>SUM(Z16:Z26)</f>
        <v>0</v>
      </c>
      <c r="AA27" s="68"/>
      <c r="AB27" s="68"/>
      <c r="AC27" s="244"/>
      <c r="AD27" s="245"/>
      <c r="AE27" s="246"/>
      <c r="AF27" s="68"/>
      <c r="AG27" s="68"/>
      <c r="AH27" s="68"/>
      <c r="AL27" s="68"/>
      <c r="AM27" s="97"/>
      <c r="AN27"/>
      <c r="AO27"/>
      <c r="AP27"/>
      <c r="AQ27" s="125"/>
      <c r="AR27"/>
      <c r="AS27"/>
      <c r="AT27"/>
      <c r="AU27"/>
      <c r="AV27"/>
      <c r="AW27"/>
      <c r="AX27"/>
      <c r="AY27"/>
      <c r="AZ27"/>
      <c r="BA27" s="183" t="s">
        <v>147</v>
      </c>
      <c r="BD27" s="68"/>
      <c r="BE27"/>
      <c r="BF27" s="68"/>
      <c r="BG27" s="68"/>
      <c r="BH27" s="68"/>
      <c r="BI27" s="68"/>
      <c r="BJ27" s="68"/>
      <c r="BK27" s="68"/>
      <c r="BL27" s="68"/>
      <c r="BO27"/>
      <c r="BP27" s="68"/>
      <c r="BQ27" s="68"/>
      <c r="BR27" s="68"/>
      <c r="BS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</row>
    <row r="28" spans="1:95" ht="40.049999999999997" customHeight="1" thickBot="1">
      <c r="A28" s="59" t="s">
        <v>223</v>
      </c>
      <c r="C28" s="456">
        <f t="shared" si="19"/>
        <v>0</v>
      </c>
      <c r="D28" s="457" t="e">
        <f t="shared" ref="D28:D34" si="25">VLOOKUP(H17,$BE$15:$BG$29,$S27,FALSE)*P17+VLOOKUP(L17,$BE$15:$BG$29,$S27,FALSE)*Q17</f>
        <v>#N/A</v>
      </c>
      <c r="E28" s="457" t="e">
        <f t="shared" si="20"/>
        <v>#N/A</v>
      </c>
      <c r="F28" s="457" t="e">
        <f t="shared" si="21"/>
        <v>#N/A</v>
      </c>
      <c r="G28" s="457"/>
      <c r="H28" s="457" t="e">
        <f t="shared" ref="H28:H34" si="26">(VLOOKUP($W17,$BT$14:$BW$23,$R27,FALSE))</f>
        <v>#N/A</v>
      </c>
      <c r="I28" s="457" t="e">
        <f t="shared" si="22"/>
        <v>#N/A</v>
      </c>
      <c r="J28" s="457"/>
      <c r="K28" s="457">
        <f t="shared" si="23"/>
        <v>0</v>
      </c>
      <c r="L28" s="457" t="e">
        <f t="shared" ref="L28:L34" si="27">+D28+E28+F28+H28+I28+K28+J28</f>
        <v>#N/A</v>
      </c>
      <c r="M28" s="458" t="e">
        <f t="shared" si="24"/>
        <v>#N/A</v>
      </c>
      <c r="N28" s="459"/>
      <c r="O28" s="105"/>
      <c r="R28">
        <v>2</v>
      </c>
      <c r="S28">
        <v>3</v>
      </c>
      <c r="T28">
        <v>4</v>
      </c>
      <c r="U28"/>
      <c r="V28"/>
      <c r="W28"/>
      <c r="X28"/>
      <c r="Y28"/>
      <c r="AA28" s="68"/>
      <c r="AB28" s="68"/>
      <c r="AC28" s="244"/>
      <c r="AD28" s="245"/>
      <c r="AE28" s="246"/>
      <c r="AF28" s="68"/>
      <c r="AG28" s="68"/>
      <c r="AH28" s="68"/>
      <c r="AL28" s="68"/>
      <c r="AM28" s="97"/>
      <c r="AN28"/>
      <c r="AO28"/>
      <c r="AP28"/>
      <c r="AQ28" s="125"/>
      <c r="AR28"/>
      <c r="AS28"/>
      <c r="AT28"/>
      <c r="AU28"/>
      <c r="AV28"/>
      <c r="AW28"/>
      <c r="AX28"/>
      <c r="AY28"/>
      <c r="AZ28"/>
      <c r="BA28" s="184" t="s">
        <v>173</v>
      </c>
      <c r="BB28" s="107"/>
      <c r="BD28" s="68"/>
      <c r="BE28"/>
      <c r="BF28" s="68"/>
      <c r="BG28" s="68"/>
      <c r="BH28"/>
      <c r="BI28"/>
      <c r="BJ28"/>
      <c r="BK28"/>
      <c r="BL28"/>
      <c r="BO28"/>
      <c r="BP28" s="68"/>
      <c r="BQ28" s="68"/>
      <c r="BR28" s="68"/>
      <c r="BS28" s="68"/>
      <c r="BT28" s="124" t="s">
        <v>192</v>
      </c>
      <c r="BU28" s="151">
        <f>+BV28*4.5</f>
        <v>6973.5</v>
      </c>
      <c r="BV28" s="151">
        <v>1549.6666666666667</v>
      </c>
      <c r="BW28" s="68"/>
      <c r="BX28" s="68"/>
      <c r="BY28" s="68"/>
      <c r="BZ28" s="68"/>
      <c r="CA28" s="68"/>
      <c r="CB28" s="68"/>
      <c r="CC28" s="68"/>
      <c r="CD28" s="68"/>
      <c r="CE28" s="68"/>
      <c r="CF28" s="68"/>
      <c r="CG28" s="68"/>
      <c r="CH28" s="68"/>
      <c r="CI28" s="68"/>
      <c r="CJ28" s="68"/>
      <c r="CK28" s="68"/>
      <c r="CL28" s="68"/>
      <c r="CM28" s="68"/>
      <c r="CN28" s="68"/>
      <c r="CO28" s="68"/>
    </row>
    <row r="29" spans="1:95" ht="40.049999999999997" customHeight="1" thickBot="1">
      <c r="C29" s="456">
        <f t="shared" si="19"/>
        <v>0</v>
      </c>
      <c r="D29" s="457" t="e">
        <f t="shared" si="25"/>
        <v>#N/A</v>
      </c>
      <c r="E29" s="457" t="e">
        <f t="shared" si="20"/>
        <v>#N/A</v>
      </c>
      <c r="F29" s="457" t="e">
        <f t="shared" si="21"/>
        <v>#N/A</v>
      </c>
      <c r="G29" s="457"/>
      <c r="H29" s="457" t="e">
        <f t="shared" si="26"/>
        <v>#N/A</v>
      </c>
      <c r="I29" s="457" t="e">
        <f t="shared" si="22"/>
        <v>#N/A</v>
      </c>
      <c r="J29" s="457"/>
      <c r="K29" s="457">
        <f t="shared" si="23"/>
        <v>0</v>
      </c>
      <c r="L29" s="457" t="e">
        <f t="shared" si="27"/>
        <v>#N/A</v>
      </c>
      <c r="M29" s="458" t="e">
        <f t="shared" si="24"/>
        <v>#N/A</v>
      </c>
      <c r="N29" s="459"/>
      <c r="O29" s="105"/>
      <c r="R29">
        <v>2</v>
      </c>
      <c r="S29">
        <v>3</v>
      </c>
      <c r="T29">
        <v>4</v>
      </c>
      <c r="U29"/>
      <c r="V29"/>
      <c r="W29"/>
      <c r="X29"/>
      <c r="Y29"/>
      <c r="AA29"/>
      <c r="AB29"/>
      <c r="AC29" s="69"/>
      <c r="AD29" s="69"/>
      <c r="AN29" s="68"/>
      <c r="AO29" s="115"/>
      <c r="AP29"/>
      <c r="AQ29"/>
      <c r="AR29"/>
      <c r="AS29" s="125"/>
      <c r="AT29"/>
      <c r="AU29"/>
      <c r="AV29"/>
      <c r="AW29"/>
      <c r="AX29"/>
      <c r="AY29"/>
      <c r="AZ29"/>
      <c r="BB29" s="68"/>
      <c r="BD29" s="204"/>
      <c r="BF29" s="68"/>
      <c r="BG29" s="107"/>
      <c r="BH29" s="68"/>
      <c r="BI29" s="68"/>
      <c r="BJ29"/>
      <c r="BK29"/>
      <c r="BL29"/>
      <c r="BQ29"/>
      <c r="BR29"/>
      <c r="BS29"/>
      <c r="BT29" s="124" t="s">
        <v>193</v>
      </c>
      <c r="BU29" s="151">
        <f>+BV29*1.7</f>
        <v>7995.0999999999995</v>
      </c>
      <c r="BV29" s="151">
        <v>4703</v>
      </c>
      <c r="BW29"/>
      <c r="BX29" s="68"/>
      <c r="BY29" s="68"/>
      <c r="BZ29" s="68"/>
      <c r="CA29" s="68"/>
      <c r="CB29" s="68"/>
      <c r="CC29" s="68"/>
      <c r="CD29" s="68"/>
      <c r="CE29" s="68"/>
      <c r="CF29" s="68"/>
      <c r="CG29" s="68"/>
      <c r="CH29" s="68"/>
      <c r="CI29" s="68"/>
      <c r="CJ29" s="68"/>
      <c r="CK29" s="68"/>
      <c r="CL29" s="68"/>
      <c r="CM29" s="68"/>
      <c r="CN29" s="68"/>
      <c r="CO29" s="68"/>
      <c r="CP29" s="68"/>
      <c r="CQ29" s="68"/>
    </row>
    <row r="30" spans="1:95" ht="40.049999999999997" customHeight="1" thickBot="1">
      <c r="C30" s="456">
        <f t="shared" si="19"/>
        <v>0</v>
      </c>
      <c r="D30" s="457" t="e">
        <f t="shared" si="25"/>
        <v>#N/A</v>
      </c>
      <c r="E30" s="457" t="e">
        <f t="shared" si="20"/>
        <v>#N/A</v>
      </c>
      <c r="F30" s="457" t="e">
        <f t="shared" si="21"/>
        <v>#N/A</v>
      </c>
      <c r="G30" s="457"/>
      <c r="H30" s="457" t="e">
        <f t="shared" si="26"/>
        <v>#N/A</v>
      </c>
      <c r="I30" s="457" t="e">
        <f t="shared" si="22"/>
        <v>#N/A</v>
      </c>
      <c r="J30" s="457"/>
      <c r="K30" s="457">
        <f t="shared" si="23"/>
        <v>0</v>
      </c>
      <c r="L30" s="457" t="e">
        <f t="shared" si="27"/>
        <v>#N/A</v>
      </c>
      <c r="M30" s="458" t="e">
        <f t="shared" si="24"/>
        <v>#N/A</v>
      </c>
      <c r="N30" s="459"/>
      <c r="O30" s="105"/>
      <c r="R30">
        <v>2</v>
      </c>
      <c r="S30">
        <v>3</v>
      </c>
      <c r="T30">
        <v>4</v>
      </c>
      <c r="U30"/>
      <c r="V30"/>
      <c r="W30"/>
      <c r="X30"/>
      <c r="Y30"/>
      <c r="AA30"/>
      <c r="AB30"/>
      <c r="AM30" s="68"/>
      <c r="AN30" s="97"/>
      <c r="AO30"/>
      <c r="AP30"/>
      <c r="AQ30"/>
      <c r="AR30" s="149"/>
      <c r="AS30"/>
      <c r="AT30"/>
      <c r="AU30"/>
      <c r="AV30"/>
      <c r="AW30"/>
      <c r="AX30"/>
      <c r="AY30"/>
      <c r="AZ30"/>
      <c r="BB30" s="68"/>
      <c r="BC30"/>
      <c r="BD30" s="68"/>
      <c r="BE30" s="68"/>
      <c r="BF30" s="68"/>
      <c r="BG30" s="68"/>
      <c r="BH30"/>
      <c r="BI30"/>
      <c r="BJ30"/>
      <c r="BK30"/>
      <c r="BL30"/>
      <c r="BM30"/>
      <c r="BN30" s="177"/>
      <c r="BO30" s="177"/>
      <c r="BP30"/>
      <c r="BQ30" s="68"/>
      <c r="BR30" s="68"/>
      <c r="BS30" s="68"/>
      <c r="BT30" s="124" t="s">
        <v>194</v>
      </c>
      <c r="BU30" s="151">
        <f>+BV30*2.3</f>
        <v>9830.1999999999989</v>
      </c>
      <c r="BV30" s="151">
        <v>4274</v>
      </c>
      <c r="BW30" s="68"/>
      <c r="BX30" s="68"/>
      <c r="BY30" s="68"/>
      <c r="BZ30" s="68"/>
      <c r="CA30" s="68"/>
      <c r="CB30" s="68"/>
      <c r="CC30" s="68"/>
      <c r="CD30" s="68"/>
      <c r="CE30" s="68"/>
      <c r="CF30" s="68"/>
      <c r="CG30" s="68"/>
      <c r="CH30" s="68"/>
      <c r="CI30" s="68"/>
      <c r="CJ30" s="68"/>
      <c r="CK30" s="68"/>
      <c r="CL30" s="68"/>
      <c r="CM30" s="68"/>
      <c r="CN30" s="68"/>
      <c r="CO30" s="68"/>
      <c r="CP30" s="68"/>
    </row>
    <row r="31" spans="1:95" ht="40.049999999999997" customHeight="1" thickBot="1">
      <c r="C31" s="456">
        <f t="shared" si="19"/>
        <v>0</v>
      </c>
      <c r="D31" s="457" t="e">
        <f t="shared" si="25"/>
        <v>#N/A</v>
      </c>
      <c r="E31" s="457" t="e">
        <f t="shared" si="20"/>
        <v>#N/A</v>
      </c>
      <c r="F31" s="457" t="e">
        <f t="shared" si="21"/>
        <v>#N/A</v>
      </c>
      <c r="G31" s="457"/>
      <c r="H31" s="457" t="e">
        <f t="shared" si="26"/>
        <v>#N/A</v>
      </c>
      <c r="I31" s="457" t="e">
        <f t="shared" si="22"/>
        <v>#N/A</v>
      </c>
      <c r="J31" s="457"/>
      <c r="K31" s="457">
        <f t="shared" si="23"/>
        <v>0</v>
      </c>
      <c r="L31" s="457" t="e">
        <f t="shared" si="27"/>
        <v>#N/A</v>
      </c>
      <c r="M31" s="458" t="e">
        <f t="shared" si="24"/>
        <v>#N/A</v>
      </c>
      <c r="N31" s="459"/>
      <c r="O31" s="105"/>
      <c r="R31">
        <v>2</v>
      </c>
      <c r="S31">
        <v>3</v>
      </c>
      <c r="T31">
        <v>4</v>
      </c>
      <c r="U31"/>
      <c r="V31"/>
      <c r="W31"/>
      <c r="X31"/>
      <c r="Y31"/>
      <c r="AA31"/>
      <c r="AB31"/>
      <c r="AM31" s="68"/>
      <c r="AN31" s="97"/>
      <c r="AO31"/>
      <c r="AP31"/>
      <c r="AQ31"/>
      <c r="AR31"/>
      <c r="AS31"/>
      <c r="AT31"/>
      <c r="AU31"/>
      <c r="AV31"/>
      <c r="AW31"/>
      <c r="AX31"/>
      <c r="AY31"/>
      <c r="AZ31"/>
      <c r="BB31" s="68"/>
      <c r="BC31" s="107"/>
      <c r="BD31" s="107"/>
      <c r="BE31" s="68"/>
      <c r="BF31" s="68"/>
      <c r="BG31" s="68"/>
      <c r="BH31"/>
      <c r="BI31"/>
      <c r="BJ31"/>
      <c r="BK31"/>
      <c r="BL31"/>
      <c r="BM31"/>
      <c r="BN31" s="177"/>
      <c r="BO31" s="177"/>
      <c r="BP31"/>
      <c r="BQ31" s="68"/>
      <c r="BR31" s="68"/>
      <c r="BS31" s="68"/>
      <c r="BT31" s="124" t="s">
        <v>195</v>
      </c>
      <c r="BU31" s="151">
        <f>+BV31*2.5</f>
        <v>11484.583333333332</v>
      </c>
      <c r="BV31" s="151">
        <v>4593.833333333333</v>
      </c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</row>
    <row r="32" spans="1:95" ht="40.049999999999997" customHeight="1" thickBot="1">
      <c r="C32" s="456">
        <f t="shared" si="19"/>
        <v>0</v>
      </c>
      <c r="D32" s="457" t="e">
        <f t="shared" si="25"/>
        <v>#N/A</v>
      </c>
      <c r="E32" s="457" t="e">
        <f t="shared" si="20"/>
        <v>#N/A</v>
      </c>
      <c r="F32" s="457" t="e">
        <f t="shared" si="21"/>
        <v>#N/A</v>
      </c>
      <c r="G32" s="457"/>
      <c r="H32" s="457" t="e">
        <f t="shared" si="26"/>
        <v>#N/A</v>
      </c>
      <c r="I32" s="457" t="e">
        <f t="shared" si="22"/>
        <v>#N/A</v>
      </c>
      <c r="J32" s="457"/>
      <c r="K32" s="457">
        <f t="shared" si="23"/>
        <v>0</v>
      </c>
      <c r="L32" s="457" t="e">
        <f t="shared" si="27"/>
        <v>#N/A</v>
      </c>
      <c r="M32" s="458" t="e">
        <f t="shared" si="24"/>
        <v>#N/A</v>
      </c>
      <c r="N32" s="459"/>
      <c r="O32" s="105"/>
      <c r="P32" s="68"/>
      <c r="Q32" s="68"/>
      <c r="R32">
        <v>2</v>
      </c>
      <c r="S32">
        <v>3</v>
      </c>
      <c r="T32">
        <v>4</v>
      </c>
      <c r="U32"/>
      <c r="V32"/>
      <c r="W32"/>
      <c r="X32"/>
      <c r="Y32"/>
      <c r="AA32"/>
      <c r="AB32"/>
      <c r="AM32" s="68"/>
      <c r="AN32" s="97"/>
      <c r="AO32"/>
      <c r="AP32"/>
      <c r="AQ32"/>
      <c r="AR32" s="107"/>
      <c r="AS32"/>
      <c r="AT32"/>
      <c r="AU32"/>
      <c r="AV32"/>
      <c r="AW32"/>
      <c r="AX32"/>
      <c r="AY32"/>
      <c r="AZ32"/>
      <c r="BA32"/>
      <c r="BB32"/>
      <c r="BC32"/>
      <c r="BD32" s="107"/>
      <c r="BE32" s="68"/>
      <c r="BF32"/>
      <c r="BG32" s="68"/>
      <c r="BH32" s="68"/>
      <c r="BI32"/>
      <c r="BJ32"/>
      <c r="BK32"/>
      <c r="BL32"/>
      <c r="BM32"/>
      <c r="BN32" s="177"/>
      <c r="BO32" s="177"/>
      <c r="BP32"/>
      <c r="BQ32" s="68"/>
      <c r="BR32" s="68"/>
      <c r="BS32" s="68"/>
      <c r="BT32" s="124" t="s">
        <v>246</v>
      </c>
      <c r="BU32" s="151">
        <v>14000</v>
      </c>
      <c r="BV32" s="151">
        <f>1550*2</f>
        <v>3100</v>
      </c>
      <c r="BX32" s="68"/>
      <c r="BY32" s="68"/>
      <c r="BZ32" s="68"/>
      <c r="CA32" s="68"/>
      <c r="CB32" s="68"/>
      <c r="CC32" s="68"/>
      <c r="CD32" s="68"/>
      <c r="CE32" s="68"/>
      <c r="CF32" s="68"/>
      <c r="CG32" s="68"/>
      <c r="CH32" s="68"/>
      <c r="CI32" s="68"/>
      <c r="CJ32" s="68"/>
      <c r="CK32" s="68"/>
      <c r="CL32" s="68"/>
      <c r="CM32" s="68"/>
      <c r="CN32" s="68"/>
      <c r="CO32" s="68"/>
      <c r="CP32" s="68"/>
    </row>
    <row r="33" spans="1:94" ht="40.049999999999997" customHeight="1" thickBot="1">
      <c r="C33" s="456">
        <f t="shared" si="19"/>
        <v>0</v>
      </c>
      <c r="D33" s="457" t="e">
        <f t="shared" si="25"/>
        <v>#N/A</v>
      </c>
      <c r="E33" s="457" t="e">
        <f t="shared" si="20"/>
        <v>#N/A</v>
      </c>
      <c r="F33" s="457" t="e">
        <f t="shared" si="21"/>
        <v>#N/A</v>
      </c>
      <c r="G33" s="457"/>
      <c r="H33" s="457" t="e">
        <f t="shared" si="26"/>
        <v>#N/A</v>
      </c>
      <c r="I33" s="457" t="e">
        <f t="shared" si="22"/>
        <v>#N/A</v>
      </c>
      <c r="J33" s="457"/>
      <c r="K33" s="457">
        <f t="shared" si="23"/>
        <v>0</v>
      </c>
      <c r="L33" s="457" t="e">
        <f t="shared" si="27"/>
        <v>#N/A</v>
      </c>
      <c r="M33" s="458" t="e">
        <f t="shared" si="24"/>
        <v>#N/A</v>
      </c>
      <c r="N33" s="459"/>
      <c r="O33" s="105"/>
      <c r="P33" s="68"/>
      <c r="Q33" s="68"/>
      <c r="R33">
        <v>2</v>
      </c>
      <c r="S33">
        <v>3</v>
      </c>
      <c r="T33">
        <v>4</v>
      </c>
      <c r="U33"/>
      <c r="V33"/>
      <c r="W33"/>
      <c r="X33"/>
      <c r="Y33"/>
      <c r="AA33"/>
      <c r="AB33"/>
      <c r="AM33" s="68"/>
      <c r="AN33" s="68"/>
      <c r="AQ33" s="68"/>
      <c r="AR33"/>
      <c r="BC33"/>
      <c r="BD33"/>
      <c r="BE33" s="68"/>
      <c r="BF33" s="68"/>
      <c r="BG33" s="68"/>
      <c r="BH33" s="68"/>
      <c r="BI33"/>
      <c r="BJ33"/>
      <c r="BK33"/>
      <c r="BL33"/>
      <c r="BM33"/>
      <c r="BN33" s="177"/>
      <c r="BO33" s="177"/>
      <c r="BP33"/>
      <c r="BQ33" s="68"/>
      <c r="BR33" s="68"/>
      <c r="BS33" s="68"/>
      <c r="BT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  <c r="CP33" s="68"/>
    </row>
    <row r="34" spans="1:94" ht="40.049999999999997" customHeight="1" thickBot="1">
      <c r="A34" s="59" t="s">
        <v>215</v>
      </c>
      <c r="C34" s="456">
        <f t="shared" si="19"/>
        <v>0</v>
      </c>
      <c r="D34" s="457" t="e">
        <f t="shared" si="25"/>
        <v>#N/A</v>
      </c>
      <c r="E34" s="457" t="e">
        <f t="shared" si="20"/>
        <v>#N/A</v>
      </c>
      <c r="F34" s="457" t="e">
        <f t="shared" si="21"/>
        <v>#N/A</v>
      </c>
      <c r="G34" s="457"/>
      <c r="H34" s="457" t="e">
        <f t="shared" si="26"/>
        <v>#N/A</v>
      </c>
      <c r="I34" s="457" t="e">
        <f t="shared" si="22"/>
        <v>#N/A</v>
      </c>
      <c r="J34" s="457"/>
      <c r="K34" s="457">
        <f t="shared" si="23"/>
        <v>0</v>
      </c>
      <c r="L34" s="457" t="e">
        <f t="shared" si="27"/>
        <v>#N/A</v>
      </c>
      <c r="M34" s="458" t="e">
        <f t="shared" si="24"/>
        <v>#N/A</v>
      </c>
      <c r="N34" s="459"/>
      <c r="O34" s="105"/>
      <c r="P34" s="68"/>
      <c r="Q34" s="68"/>
      <c r="R34">
        <v>2</v>
      </c>
      <c r="S34">
        <v>3</v>
      </c>
      <c r="T34">
        <v>4</v>
      </c>
      <c r="U34"/>
      <c r="V34"/>
      <c r="W34"/>
      <c r="X34"/>
      <c r="Y34"/>
      <c r="AA34"/>
      <c r="AB34"/>
      <c r="AC34"/>
      <c r="AD34"/>
      <c r="AI34" s="87" t="s">
        <v>19</v>
      </c>
      <c r="AJ34" s="69"/>
      <c r="AM34" s="116"/>
      <c r="AN34" s="116"/>
      <c r="AO34" s="97"/>
      <c r="AP34"/>
      <c r="AQ34" s="68"/>
      <c r="AR34" s="68"/>
      <c r="AS34" s="107"/>
      <c r="AT34" s="107"/>
      <c r="AU34" s="68"/>
      <c r="AV34" s="68"/>
      <c r="AW34" s="68"/>
      <c r="AX34" s="68"/>
      <c r="BA34"/>
      <c r="BB34"/>
      <c r="BC34"/>
      <c r="BD34" s="187"/>
      <c r="BE34"/>
      <c r="BF34" s="108"/>
      <c r="BG34" s="68"/>
      <c r="BH34" s="68"/>
      <c r="BI34"/>
      <c r="BJ34"/>
      <c r="BK34"/>
      <c r="BL34"/>
      <c r="BM34"/>
      <c r="BN34" s="177"/>
      <c r="BO34" s="177"/>
      <c r="BP34" s="68"/>
      <c r="BQ34" s="68"/>
      <c r="BR34" s="68"/>
      <c r="BS34" s="68"/>
      <c r="BT34" s="68"/>
      <c r="BX34" s="68"/>
      <c r="BY34" s="68"/>
      <c r="BZ34" s="68"/>
      <c r="CA34" s="68"/>
      <c r="CB34" s="68"/>
      <c r="CC34" s="68"/>
      <c r="CD34" s="68"/>
      <c r="CE34" s="68"/>
      <c r="CF34" s="68"/>
      <c r="CG34" s="68"/>
      <c r="CH34" s="68"/>
      <c r="CI34" s="68"/>
      <c r="CJ34" s="68"/>
      <c r="CK34" s="68"/>
      <c r="CL34" s="68"/>
      <c r="CM34" s="68"/>
      <c r="CN34" s="68"/>
      <c r="CO34" s="68"/>
      <c r="CP34" s="68"/>
    </row>
    <row r="35" spans="1:94" ht="24" customHeight="1">
      <c r="A35" s="59" t="s">
        <v>216</v>
      </c>
      <c r="C35" s="68"/>
      <c r="D35" s="247"/>
      <c r="E35" s="247"/>
      <c r="F35" s="247"/>
      <c r="G35" s="247"/>
      <c r="H35" s="247"/>
      <c r="I35" s="247"/>
      <c r="J35" s="247"/>
      <c r="K35" s="247"/>
      <c r="L35" s="247"/>
      <c r="M35" s="248"/>
      <c r="N35" s="133"/>
      <c r="O35" s="105"/>
      <c r="P35" s="68"/>
      <c r="Q35" s="68"/>
      <c r="R35"/>
      <c r="S35"/>
      <c r="T35"/>
      <c r="U35"/>
      <c r="V35"/>
      <c r="W35"/>
      <c r="X35"/>
      <c r="Y35"/>
      <c r="AA35"/>
      <c r="AB35"/>
      <c r="AC35"/>
      <c r="AI35" s="88" t="s">
        <v>320</v>
      </c>
      <c r="AK35" s="71"/>
      <c r="AM35"/>
      <c r="AN35"/>
      <c r="AO35"/>
      <c r="AP35" s="108"/>
      <c r="AQ35" s="123"/>
      <c r="AR35" s="68"/>
      <c r="AS35" s="122"/>
      <c r="AT35" s="122"/>
      <c r="AU35" s="122"/>
      <c r="AV35" s="108"/>
      <c r="AW35" s="123"/>
      <c r="AX35" s="68"/>
      <c r="BC35" s="107"/>
      <c r="BD35" s="68"/>
      <c r="BE35" s="68"/>
      <c r="BF35" s="68"/>
      <c r="BG35" s="68"/>
      <c r="BH35" s="68"/>
      <c r="BI35"/>
      <c r="BJ35"/>
      <c r="BK35"/>
      <c r="BL35"/>
      <c r="BM35"/>
      <c r="BO35" s="109"/>
      <c r="BP35" s="68"/>
      <c r="BQ35"/>
      <c r="BR35"/>
      <c r="BS35"/>
      <c r="BT35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</row>
    <row r="36" spans="1:94" ht="22.05" customHeight="1">
      <c r="A36" s="59" t="s">
        <v>217</v>
      </c>
      <c r="C36" s="68"/>
      <c r="D36" s="247"/>
      <c r="E36" s="247"/>
      <c r="F36" s="247"/>
      <c r="G36" s="247"/>
      <c r="H36" s="247"/>
      <c r="I36" s="247"/>
      <c r="J36" s="247"/>
      <c r="K36" s="247"/>
      <c r="L36" s="247"/>
      <c r="M36" s="248"/>
      <c r="N36" s="133"/>
      <c r="O36" s="105"/>
      <c r="P36" s="68"/>
      <c r="Q36" s="68"/>
      <c r="R36"/>
      <c r="S36"/>
      <c r="T36"/>
      <c r="U36"/>
      <c r="V36"/>
      <c r="W36"/>
      <c r="X36"/>
      <c r="Y36"/>
      <c r="AA36"/>
      <c r="AB36"/>
      <c r="AC36"/>
      <c r="AI36" s="88" t="s">
        <v>321</v>
      </c>
      <c r="AK36" s="71"/>
      <c r="AM36"/>
      <c r="AN36"/>
      <c r="AO36" s="68"/>
      <c r="AP36" s="108"/>
      <c r="AQ36" s="123"/>
      <c r="AR36" s="68"/>
      <c r="AS36" s="639"/>
      <c r="AT36" s="639"/>
      <c r="AU36" s="639"/>
      <c r="AV36" s="108"/>
      <c r="AW36" s="123"/>
      <c r="AX36" s="68"/>
      <c r="BC36"/>
      <c r="BD36" s="68"/>
      <c r="BE36" s="68"/>
      <c r="BF36" s="68"/>
      <c r="BG36" s="68"/>
      <c r="BH36" s="68"/>
      <c r="BI36"/>
      <c r="BJ36"/>
      <c r="BK36"/>
      <c r="BL36"/>
      <c r="BM36"/>
      <c r="BO36" s="109"/>
      <c r="BP36" s="68"/>
      <c r="BQ36"/>
      <c r="BR36"/>
      <c r="BS36"/>
      <c r="BT36"/>
      <c r="BX36" s="68"/>
      <c r="BY36" s="68"/>
      <c r="BZ36" s="68"/>
      <c r="CA36" s="68"/>
      <c r="CB36" s="68"/>
      <c r="CC36" s="68"/>
      <c r="CD36" s="68"/>
      <c r="CE36" s="68"/>
      <c r="CF36" s="68"/>
      <c r="CG36" s="68"/>
      <c r="CH36" s="68"/>
      <c r="CI36" s="68"/>
      <c r="CJ36" s="68"/>
      <c r="CK36" s="68"/>
      <c r="CL36" s="68"/>
      <c r="CM36" s="68"/>
      <c r="CN36" s="68"/>
      <c r="CO36" s="68"/>
      <c r="CP36" s="68"/>
    </row>
    <row r="37" spans="1:94">
      <c r="A37" s="59" t="s">
        <v>218</v>
      </c>
      <c r="U37"/>
      <c r="V37"/>
      <c r="W37"/>
      <c r="X37"/>
      <c r="Y37"/>
      <c r="AE37" s="62"/>
      <c r="AI37" s="88" t="s">
        <v>322</v>
      </c>
      <c r="AM37" s="68"/>
      <c r="AN37" s="68"/>
      <c r="AO37" s="145"/>
      <c r="AP37" s="68"/>
      <c r="AQ37" s="68"/>
      <c r="AR37" s="68"/>
      <c r="AS37" s="68"/>
      <c r="AT37" s="68"/>
      <c r="AU37" s="68"/>
      <c r="AV37" s="68"/>
      <c r="AW37" s="68"/>
      <c r="AX37" s="68"/>
      <c r="BC37"/>
      <c r="BD37" s="68"/>
      <c r="BE37" s="68"/>
      <c r="BF37" s="68"/>
      <c r="BG37" s="68"/>
      <c r="BH37" s="68"/>
      <c r="BI37"/>
      <c r="BJ37"/>
      <c r="BK37"/>
      <c r="BL37"/>
      <c r="BM37"/>
      <c r="BO37" s="109"/>
      <c r="BP37" s="68"/>
      <c r="BQ37"/>
      <c r="BR37"/>
      <c r="BS37"/>
      <c r="BT37" s="68"/>
      <c r="BX37" s="68"/>
      <c r="BY37" s="68"/>
      <c r="BZ37" s="68"/>
      <c r="CA37" s="68"/>
      <c r="CB37" s="68"/>
      <c r="CC37" s="68"/>
      <c r="CD37" s="68"/>
      <c r="CE37" s="68"/>
      <c r="CF37" s="68"/>
      <c r="CG37" s="68"/>
      <c r="CH37" s="68"/>
      <c r="CI37" s="68"/>
      <c r="CJ37" s="68"/>
      <c r="CK37" s="68"/>
      <c r="CL37" s="68"/>
      <c r="CM37" s="68"/>
      <c r="CN37" s="68"/>
      <c r="CO37" s="68"/>
      <c r="CP37" s="68"/>
    </row>
    <row r="38" spans="1:94">
      <c r="A38" s="59" t="s">
        <v>219</v>
      </c>
      <c r="U38"/>
      <c r="V38" s="93"/>
      <c r="W38"/>
      <c r="X38"/>
      <c r="Y38"/>
      <c r="AC38" s="62"/>
      <c r="AD38" s="62"/>
      <c r="AI38" s="88" t="s">
        <v>323</v>
      </c>
      <c r="AM38" s="68"/>
      <c r="AN38" s="68"/>
      <c r="AO38" s="145"/>
      <c r="AP38" s="68"/>
      <c r="AQ38" s="68"/>
      <c r="AR38" s="68"/>
      <c r="AS38" s="68"/>
      <c r="AT38" s="68"/>
      <c r="AU38" s="68"/>
      <c r="AV38" s="68"/>
      <c r="AW38" s="68"/>
      <c r="AX38" s="68"/>
      <c r="BC38"/>
      <c r="BD38" s="68"/>
      <c r="BE38" s="68"/>
      <c r="BF38" s="68"/>
      <c r="BG38" s="68"/>
      <c r="BH38" s="68"/>
      <c r="BI38"/>
      <c r="BJ38"/>
      <c r="BK38"/>
      <c r="BL38"/>
      <c r="BM38"/>
      <c r="BO38" s="109"/>
      <c r="BP38" s="68"/>
      <c r="BQ38"/>
      <c r="BR38"/>
      <c r="BS38"/>
      <c r="BT38" s="68"/>
      <c r="BX38" s="68"/>
      <c r="BY38" s="68"/>
      <c r="BZ38" s="68"/>
      <c r="CA38" s="68"/>
      <c r="CB38" s="68"/>
      <c r="CC38" s="68"/>
      <c r="CD38" s="68"/>
      <c r="CE38" s="68"/>
      <c r="CF38" s="68"/>
      <c r="CG38" s="68"/>
      <c r="CH38" s="68"/>
      <c r="CI38" s="68"/>
      <c r="CJ38" s="68"/>
      <c r="CK38" s="68"/>
      <c r="CL38" s="68"/>
      <c r="CM38" s="68"/>
      <c r="CN38" s="68"/>
      <c r="CO38" s="68"/>
      <c r="CP38" s="68"/>
    </row>
    <row r="39" spans="1:94" ht="23.25" customHeight="1">
      <c r="A39" s="59" t="s">
        <v>220</v>
      </c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/>
      <c r="V39"/>
      <c r="W39"/>
      <c r="X39"/>
      <c r="Y39"/>
      <c r="Z39" s="62"/>
      <c r="AA39" s="62"/>
      <c r="AB39" s="62"/>
      <c r="AI39" s="88" t="s">
        <v>324</v>
      </c>
      <c r="AM39" s="68"/>
      <c r="AN39" s="68"/>
      <c r="AO39" s="116"/>
      <c r="AP39" s="68"/>
      <c r="AQ39" s="68"/>
      <c r="AR39" s="68"/>
      <c r="AS39" s="68"/>
      <c r="AT39" s="68"/>
      <c r="AU39" s="68"/>
      <c r="AV39" s="68"/>
      <c r="AW39" s="68"/>
      <c r="AX39" s="68"/>
      <c r="BC39" s="68"/>
      <c r="BD39" s="68"/>
      <c r="BE39" s="68"/>
      <c r="BF39" s="68"/>
      <c r="BG39" s="68"/>
      <c r="BH39" s="68"/>
      <c r="BI39"/>
      <c r="BJ39"/>
      <c r="BK39"/>
      <c r="BL39"/>
      <c r="BM39"/>
      <c r="BO39" s="109"/>
      <c r="BP39" s="68"/>
      <c r="BQ39"/>
      <c r="BR39"/>
      <c r="BS39"/>
      <c r="BT39" s="68"/>
      <c r="BX39" s="68"/>
      <c r="BY39" s="68"/>
      <c r="BZ39" s="68"/>
      <c r="CA39" s="68"/>
      <c r="CB39" s="68"/>
      <c r="CC39" s="68"/>
      <c r="CD39" s="68"/>
      <c r="CE39" s="68"/>
      <c r="CF39" s="68"/>
      <c r="CG39" s="68"/>
      <c r="CH39" s="68"/>
      <c r="CI39" s="68"/>
      <c r="CJ39" s="68"/>
      <c r="CK39" s="68"/>
      <c r="CL39" s="68"/>
      <c r="CM39" s="68"/>
      <c r="CN39" s="68"/>
      <c r="CO39" s="68"/>
      <c r="CP39" s="68"/>
    </row>
    <row r="40" spans="1:94">
      <c r="A40" s="59" t="s">
        <v>221</v>
      </c>
      <c r="U40"/>
      <c r="V40"/>
      <c r="AI40" s="59" t="s">
        <v>319</v>
      </c>
      <c r="AL40" s="62"/>
      <c r="AM40" s="68"/>
      <c r="AN40" s="68"/>
      <c r="AO40" s="116"/>
      <c r="AP40" s="68"/>
      <c r="AQ40" s="68"/>
      <c r="AR40" s="68"/>
      <c r="AS40" s="68"/>
      <c r="AT40" s="68"/>
      <c r="AU40" s="68"/>
      <c r="AV40" s="68"/>
      <c r="AW40" s="68"/>
      <c r="AX40" s="68"/>
      <c r="BC40" s="68"/>
      <c r="BD40" s="68"/>
      <c r="BE40" s="68"/>
      <c r="BF40" s="68"/>
      <c r="BG40" s="68"/>
      <c r="BH40" s="68"/>
      <c r="BI40"/>
      <c r="BJ40"/>
      <c r="BK40"/>
      <c r="BL40"/>
      <c r="BM40"/>
      <c r="BO40" s="109"/>
      <c r="BP40" s="68"/>
      <c r="BQ40"/>
      <c r="BR40"/>
      <c r="BS40"/>
      <c r="BT40" s="68"/>
      <c r="BX40" s="68"/>
      <c r="BY40" s="68"/>
      <c r="BZ40" s="68"/>
      <c r="CA40" s="68"/>
      <c r="CB40" s="68"/>
      <c r="CC40" s="68"/>
      <c r="CD40" s="68"/>
      <c r="CE40" s="68"/>
      <c r="CF40" s="68"/>
      <c r="CG40" s="68"/>
      <c r="CH40" s="68"/>
      <c r="CI40" s="68"/>
      <c r="CJ40" s="68"/>
      <c r="CK40" s="68"/>
      <c r="CL40" s="68"/>
      <c r="CM40" s="68"/>
      <c r="CN40" s="68"/>
      <c r="CO40" s="68"/>
      <c r="CP40" s="68"/>
    </row>
    <row r="41" spans="1:94" s="62" customFormat="1">
      <c r="A41" s="59" t="s">
        <v>222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91"/>
      <c r="S41" s="59"/>
      <c r="T41" s="59"/>
      <c r="U41"/>
      <c r="V41" s="59"/>
      <c r="W41" s="59"/>
      <c r="X41" s="59"/>
      <c r="Y41" s="59"/>
      <c r="Z41"/>
      <c r="AA41" s="59"/>
      <c r="AB41" s="59"/>
      <c r="AC41" s="59"/>
      <c r="AD41" s="59"/>
      <c r="AE41" s="59"/>
      <c r="AI41" s="59" t="s">
        <v>43</v>
      </c>
      <c r="AL41" s="59"/>
      <c r="AM41" s="68"/>
      <c r="AN41" s="68"/>
      <c r="AO41" s="106"/>
      <c r="AP41" s="59"/>
      <c r="AQ41" s="68"/>
      <c r="AR41" s="68"/>
      <c r="AS41" s="59"/>
      <c r="AT41" s="59"/>
      <c r="AU41" s="59"/>
      <c r="AV41" s="59"/>
      <c r="AW41" s="59"/>
      <c r="BC41" s="68"/>
      <c r="BD41" s="108"/>
      <c r="BE41" s="108"/>
      <c r="BF41" s="68"/>
      <c r="BG41" s="68"/>
      <c r="BH41" s="68"/>
      <c r="BI41"/>
      <c r="BJ41"/>
      <c r="BK41"/>
      <c r="BL41"/>
      <c r="BM41"/>
      <c r="BN41" s="109"/>
      <c r="BO41" s="109"/>
      <c r="BP41" s="68"/>
      <c r="BQ41"/>
      <c r="BR41"/>
      <c r="BS41"/>
      <c r="BT41" s="68"/>
      <c r="BU41" s="59"/>
      <c r="BV41" s="59"/>
      <c r="BW41" s="59"/>
      <c r="BX41" s="108"/>
      <c r="BY41" s="108"/>
      <c r="BZ41" s="108"/>
      <c r="CA41" s="108"/>
      <c r="CB41" s="108"/>
      <c r="CC41" s="108"/>
      <c r="CD41" s="108"/>
      <c r="CE41" s="108"/>
      <c r="CF41" s="108"/>
      <c r="CG41" s="108"/>
      <c r="CH41" s="108"/>
      <c r="CI41" s="108"/>
      <c r="CJ41" s="108"/>
      <c r="CK41" s="108"/>
      <c r="CL41" s="108"/>
      <c r="CM41" s="108"/>
      <c r="CN41" s="108"/>
      <c r="CO41" s="108"/>
      <c r="CP41" s="108"/>
    </row>
    <row r="42" spans="1:94" ht="30" customHeight="1">
      <c r="A42" s="59" t="s">
        <v>224</v>
      </c>
      <c r="C42" s="130"/>
      <c r="D42" s="131"/>
      <c r="E42" s="131"/>
      <c r="F42" s="131"/>
      <c r="G42" s="131"/>
      <c r="H42" s="131"/>
      <c r="I42" s="131"/>
      <c r="J42" s="131"/>
      <c r="K42" s="131"/>
      <c r="L42" s="131"/>
      <c r="M42" s="132"/>
      <c r="N42" s="133"/>
      <c r="O42"/>
      <c r="R42"/>
      <c r="S42"/>
      <c r="T42"/>
      <c r="U42"/>
      <c r="V42" s="62"/>
      <c r="W42" s="62"/>
      <c r="X42" s="62"/>
      <c r="Y42" s="62"/>
      <c r="AI42" s="59" t="s">
        <v>157</v>
      </c>
      <c r="AM42" s="68"/>
      <c r="AN42" s="68"/>
      <c r="AO42" s="106"/>
      <c r="AQ42" s="68"/>
      <c r="AR42" s="68"/>
      <c r="BC42" s="68"/>
      <c r="BD42" s="68"/>
      <c r="BE42" s="68"/>
      <c r="BF42" s="68"/>
      <c r="BG42" s="68"/>
      <c r="BH42" s="68"/>
      <c r="BI42"/>
      <c r="BJ42"/>
      <c r="BK42"/>
      <c r="BL42"/>
      <c r="BM42"/>
      <c r="BO42" s="109"/>
      <c r="BP42" s="68"/>
      <c r="BQ42"/>
      <c r="BR42"/>
      <c r="BS42"/>
      <c r="BT42" s="68"/>
      <c r="BX42" s="68"/>
      <c r="BY42" s="68"/>
      <c r="BZ42" s="68"/>
      <c r="CA42" s="68"/>
      <c r="CB42" s="68"/>
      <c r="CC42" s="68"/>
      <c r="CD42" s="68"/>
      <c r="CE42" s="68"/>
      <c r="CF42" s="68"/>
      <c r="CG42" s="68"/>
      <c r="CH42" s="68"/>
      <c r="CI42" s="68"/>
      <c r="CJ42" s="68"/>
      <c r="CK42" s="68"/>
      <c r="CL42" s="68"/>
      <c r="CM42" s="68"/>
      <c r="CN42" s="68"/>
      <c r="CO42" s="68"/>
      <c r="CP42" s="68"/>
    </row>
    <row r="43" spans="1:94" ht="30" customHeight="1">
      <c r="A43" s="59" t="s">
        <v>223</v>
      </c>
      <c r="C43" s="130"/>
      <c r="D43" s="131"/>
      <c r="E43" s="131"/>
      <c r="F43" s="131"/>
      <c r="G43" s="131"/>
      <c r="H43" s="131"/>
      <c r="I43" s="131"/>
      <c r="J43" s="131"/>
      <c r="K43" s="131"/>
      <c r="L43" s="131"/>
      <c r="M43" s="132"/>
      <c r="N43" s="133"/>
      <c r="O43"/>
      <c r="P43" s="91"/>
      <c r="Q43" s="91"/>
      <c r="R43" s="59"/>
      <c r="AI43" s="59" t="s">
        <v>158</v>
      </c>
      <c r="AM43" s="68"/>
      <c r="AN43" s="68"/>
      <c r="AO43" s="106"/>
      <c r="AQ43" s="68"/>
      <c r="AR43" s="68"/>
      <c r="BC43" s="68"/>
      <c r="BD43" s="68"/>
      <c r="BE43" s="68"/>
      <c r="BF43" s="68"/>
      <c r="BG43" s="68"/>
      <c r="BH43" s="68"/>
      <c r="BI43"/>
      <c r="BJ43"/>
      <c r="BK43"/>
      <c r="BL43"/>
      <c r="BM43"/>
      <c r="BO43" s="109"/>
      <c r="BP43" s="68"/>
      <c r="BQ43"/>
      <c r="BR43"/>
      <c r="BS43"/>
      <c r="BT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</row>
    <row r="44" spans="1:94" ht="30" customHeight="1">
      <c r="C44" s="130"/>
      <c r="D44" s="131"/>
      <c r="E44" s="131"/>
      <c r="F44" s="131"/>
      <c r="G44" s="131"/>
      <c r="H44" s="131"/>
      <c r="I44" s="131"/>
      <c r="J44" s="131"/>
      <c r="K44" s="131"/>
      <c r="L44" s="131"/>
      <c r="M44" s="132"/>
      <c r="N44" s="133"/>
      <c r="O44"/>
      <c r="P44" s="66"/>
      <c r="Q44" s="66"/>
      <c r="R44" s="93"/>
      <c r="S44"/>
      <c r="T44"/>
      <c r="U44"/>
      <c r="AI44" s="64" t="s">
        <v>159</v>
      </c>
      <c r="AJ44"/>
      <c r="AK44"/>
      <c r="AL44"/>
      <c r="AM44" s="68"/>
      <c r="AN44" s="68"/>
      <c r="AO44"/>
      <c r="AP44"/>
      <c r="AQ44"/>
      <c r="BC44" s="68"/>
      <c r="BD44" s="68"/>
      <c r="BE44" s="68"/>
      <c r="BF44" s="68"/>
      <c r="BI44"/>
      <c r="BJ44"/>
      <c r="BK44"/>
      <c r="BL44"/>
      <c r="BM44"/>
      <c r="BO44" s="109"/>
      <c r="BP44" s="68"/>
      <c r="BQ44"/>
      <c r="BR44"/>
      <c r="BS44"/>
      <c r="BT44" s="68"/>
      <c r="BX44" s="68"/>
      <c r="BY44" s="68"/>
      <c r="BZ44" s="68"/>
      <c r="CA44" s="68"/>
      <c r="CB44" s="68"/>
      <c r="CC44" s="68"/>
      <c r="CD44" s="68"/>
      <c r="CE44" s="68"/>
      <c r="CF44" s="68"/>
      <c r="CG44" s="68"/>
      <c r="CH44" s="68"/>
      <c r="CI44" s="68"/>
      <c r="CJ44" s="68"/>
      <c r="CK44" s="68"/>
      <c r="CL44" s="68"/>
      <c r="CM44" s="68"/>
      <c r="CN44" s="68"/>
      <c r="CO44" s="68"/>
      <c r="CP44" s="68"/>
    </row>
    <row r="45" spans="1:94" ht="30" customHeight="1">
      <c r="C45" s="130"/>
      <c r="D45" s="131"/>
      <c r="E45" s="131"/>
      <c r="F45" s="131"/>
      <c r="G45" s="131"/>
      <c r="H45" s="131"/>
      <c r="I45" s="131"/>
      <c r="J45" s="131"/>
      <c r="K45" s="131"/>
      <c r="L45" s="131"/>
      <c r="M45" s="132"/>
      <c r="N45" s="133"/>
      <c r="O45"/>
      <c r="P45" s="105"/>
      <c r="Q45" s="105"/>
      <c r="R45" s="93"/>
      <c r="S45"/>
      <c r="T45"/>
      <c r="U45"/>
      <c r="AI45" s="59" t="s">
        <v>160</v>
      </c>
      <c r="AJ45"/>
      <c r="AK45"/>
      <c r="AL45"/>
      <c r="AM45" s="68"/>
      <c r="AN45" s="68"/>
      <c r="AO45"/>
      <c r="AP45"/>
      <c r="AQ45"/>
      <c r="AS45" s="62"/>
      <c r="AT45" s="62"/>
      <c r="AU45" s="62"/>
      <c r="AV45" s="62"/>
      <c r="AW45" s="62"/>
      <c r="AX45" s="62"/>
      <c r="BC45" s="68"/>
      <c r="BD45" s="68"/>
      <c r="BE45" s="68"/>
      <c r="BF45" s="68"/>
      <c r="BI45"/>
      <c r="BJ45"/>
      <c r="BK45"/>
      <c r="BL45"/>
      <c r="BM45"/>
      <c r="BO45" s="109"/>
      <c r="BP45" s="68"/>
      <c r="BQ45"/>
      <c r="BR45"/>
      <c r="BS45"/>
      <c r="BT45" s="68"/>
      <c r="BX45" s="68"/>
      <c r="BY45" s="68"/>
      <c r="BZ45" s="68"/>
      <c r="CA45" s="68"/>
      <c r="CB45" s="68"/>
      <c r="CC45" s="68"/>
      <c r="CD45" s="68"/>
      <c r="CE45" s="68"/>
      <c r="CF45" s="68"/>
      <c r="CG45" s="68"/>
      <c r="CH45" s="68"/>
      <c r="CI45" s="68"/>
      <c r="CJ45" s="68"/>
      <c r="CK45" s="68"/>
      <c r="CL45" s="68"/>
      <c r="CM45" s="68"/>
      <c r="CN45" s="68"/>
      <c r="CO45" s="68"/>
      <c r="CP45" s="68"/>
    </row>
    <row r="46" spans="1:94" ht="30" customHeight="1">
      <c r="C46"/>
      <c r="D46"/>
      <c r="E46"/>
      <c r="F46"/>
      <c r="G46"/>
      <c r="H46"/>
      <c r="I46"/>
      <c r="J46"/>
      <c r="K46"/>
      <c r="L46"/>
      <c r="M46"/>
      <c r="N46"/>
      <c r="O46"/>
      <c r="P46" s="105"/>
      <c r="Q46" s="105"/>
      <c r="R46"/>
      <c r="S46"/>
      <c r="T46"/>
      <c r="U46"/>
      <c r="AI46" s="88" t="s">
        <v>262</v>
      </c>
      <c r="AM46" s="68"/>
      <c r="AN46" s="68"/>
      <c r="AQ46" s="68"/>
      <c r="BC46" s="68"/>
      <c r="BD46" s="68"/>
      <c r="BE46" s="68"/>
      <c r="BF46" s="68"/>
      <c r="BI46"/>
      <c r="BJ46"/>
      <c r="BK46"/>
      <c r="BL46"/>
      <c r="BM46"/>
      <c r="BO46" s="109"/>
      <c r="BP46" s="68"/>
      <c r="BQ46"/>
      <c r="BR46"/>
      <c r="BS46"/>
      <c r="BT46" s="68"/>
      <c r="BX46" s="68"/>
      <c r="BY46" s="68"/>
      <c r="BZ46" s="68"/>
      <c r="CA46" s="68"/>
      <c r="CB46" s="68"/>
      <c r="CC46" s="68"/>
      <c r="CD46" s="68"/>
      <c r="CE46" s="68"/>
      <c r="CF46" s="68"/>
      <c r="CG46" s="68"/>
      <c r="CH46" s="68"/>
      <c r="CI46" s="68"/>
      <c r="CJ46" s="68"/>
      <c r="CK46" s="68"/>
      <c r="CL46" s="68"/>
      <c r="CM46" s="68"/>
      <c r="CN46" s="68"/>
      <c r="CO46" s="68"/>
      <c r="CP46" s="68"/>
    </row>
    <row r="47" spans="1:94" ht="30" customHeight="1">
      <c r="C47"/>
      <c r="D47"/>
      <c r="E47"/>
      <c r="F47"/>
      <c r="G47"/>
      <c r="H47"/>
      <c r="I47"/>
      <c r="J47"/>
      <c r="K47"/>
      <c r="L47"/>
      <c r="M47"/>
      <c r="N47"/>
      <c r="O47"/>
      <c r="P47" s="105"/>
      <c r="Q47" s="105"/>
      <c r="S47"/>
      <c r="T47"/>
      <c r="U47"/>
      <c r="AM47" s="68"/>
      <c r="AN47" s="68"/>
      <c r="BC47" s="68"/>
      <c r="BD47" s="68"/>
      <c r="BE47" s="68"/>
      <c r="BF47" s="68"/>
      <c r="BI47"/>
      <c r="BJ47"/>
      <c r="BK47"/>
      <c r="BL47"/>
      <c r="BM47"/>
      <c r="BO47" s="109"/>
      <c r="BP47" s="68"/>
      <c r="BQ47"/>
      <c r="BR47"/>
      <c r="BS47"/>
      <c r="BT47" s="68"/>
      <c r="BX47" s="68"/>
      <c r="BY47" s="68"/>
      <c r="BZ47" s="68"/>
      <c r="CA47" s="68"/>
      <c r="CB47" s="68"/>
      <c r="CC47" s="68"/>
      <c r="CD47" s="68"/>
      <c r="CE47" s="68"/>
      <c r="CF47" s="68"/>
      <c r="CG47" s="68"/>
      <c r="CH47" s="68"/>
      <c r="CI47" s="68"/>
      <c r="CJ47" s="68"/>
      <c r="CK47" s="68"/>
      <c r="CL47" s="68"/>
      <c r="CM47" s="68"/>
      <c r="CN47" s="68"/>
      <c r="CO47" s="68"/>
      <c r="CP47" s="68"/>
    </row>
    <row r="48" spans="1:94" ht="30" customHeight="1">
      <c r="C48"/>
      <c r="D48"/>
      <c r="E48"/>
      <c r="F48"/>
      <c r="G48"/>
      <c r="H48"/>
      <c r="I48"/>
      <c r="J48"/>
      <c r="K48"/>
      <c r="L48"/>
      <c r="M48"/>
      <c r="N48"/>
      <c r="O48"/>
      <c r="P48" s="105"/>
      <c r="Q48" s="105"/>
      <c r="S48"/>
      <c r="T48"/>
      <c r="U48"/>
      <c r="V48"/>
      <c r="AM48" s="68"/>
      <c r="AN48" s="68"/>
      <c r="BC48" s="68"/>
      <c r="BD48" s="68"/>
      <c r="BE48" s="68"/>
      <c r="BF48" s="68"/>
      <c r="BI48"/>
      <c r="BJ48"/>
      <c r="BK48"/>
      <c r="BL48"/>
      <c r="BM48"/>
      <c r="BP48" s="68"/>
      <c r="BQ48"/>
      <c r="BR48"/>
      <c r="BS48"/>
      <c r="BX48" s="68"/>
      <c r="BY48" s="68"/>
      <c r="BZ48" s="68"/>
      <c r="CA48" s="68"/>
      <c r="CB48" s="68"/>
      <c r="CC48" s="68"/>
      <c r="CD48" s="68"/>
      <c r="CE48" s="68"/>
      <c r="CF48" s="68"/>
      <c r="CG48" s="68"/>
      <c r="CH48" s="68"/>
      <c r="CI48" s="68"/>
      <c r="CJ48" s="68"/>
      <c r="CK48" s="68"/>
      <c r="CL48" s="68"/>
      <c r="CM48" s="68"/>
      <c r="CN48" s="68"/>
      <c r="CO48" s="68"/>
      <c r="CP48" s="68"/>
    </row>
    <row r="49" spans="3:65" ht="30" customHeight="1">
      <c r="C49"/>
      <c r="D49"/>
      <c r="E49"/>
      <c r="F49"/>
      <c r="G49"/>
      <c r="H49"/>
      <c r="I49"/>
      <c r="J49"/>
      <c r="K49"/>
      <c r="L49"/>
      <c r="M49"/>
      <c r="N49"/>
      <c r="O49"/>
      <c r="P49" s="105"/>
      <c r="Q49" s="105"/>
      <c r="S49"/>
      <c r="T49"/>
      <c r="U49"/>
      <c r="V49"/>
      <c r="AM49" s="68"/>
      <c r="AN49" s="68"/>
      <c r="BF49" s="68"/>
      <c r="BI49"/>
      <c r="BJ49"/>
      <c r="BK49"/>
      <c r="BL49"/>
      <c r="BM49"/>
    </row>
    <row r="50" spans="3:65" ht="30" customHeight="1">
      <c r="C50"/>
      <c r="D50"/>
      <c r="E50"/>
      <c r="F50"/>
      <c r="G50"/>
      <c r="H50"/>
      <c r="I50"/>
      <c r="J50"/>
      <c r="K50"/>
      <c r="L50"/>
      <c r="M50"/>
      <c r="N50"/>
      <c r="O50"/>
      <c r="P50" s="105"/>
      <c r="Q50" s="105"/>
      <c r="R50" s="62"/>
      <c r="S50"/>
      <c r="T50"/>
      <c r="U50"/>
      <c r="V50"/>
      <c r="AI50" s="110"/>
      <c r="AM50" s="68"/>
      <c r="AN50" s="68"/>
      <c r="AP50"/>
      <c r="BF50" s="68"/>
    </row>
    <row r="51" spans="3:65" ht="30" customHeight="1"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S51"/>
      <c r="T51"/>
      <c r="U51"/>
      <c r="V51"/>
      <c r="AI51" s="110"/>
      <c r="AM51" s="68"/>
      <c r="AN51" s="68"/>
      <c r="AP51"/>
      <c r="BF51" s="68"/>
    </row>
    <row r="52" spans="3:65" ht="30" customHeight="1"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S52"/>
      <c r="T52"/>
      <c r="U52"/>
      <c r="V52"/>
      <c r="AM52" s="68"/>
      <c r="AN52" s="68"/>
      <c r="AP52"/>
      <c r="BF52" s="68"/>
    </row>
    <row r="53" spans="3:65" ht="30" customHeight="1"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 s="59"/>
      <c r="S53"/>
      <c r="T53"/>
      <c r="U53"/>
      <c r="V53"/>
      <c r="AM53" s="68"/>
      <c r="AN53" s="68"/>
      <c r="AP53"/>
      <c r="BF53" s="68"/>
    </row>
    <row r="54" spans="3:65" ht="30" customHeight="1"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 s="93"/>
      <c r="S54"/>
      <c r="T54"/>
      <c r="U54"/>
      <c r="V54"/>
      <c r="AM54" s="68"/>
      <c r="AN54" s="68"/>
      <c r="AP54"/>
      <c r="BF54" s="68"/>
    </row>
    <row r="55" spans="3:65" ht="30" customHeight="1"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 s="93"/>
      <c r="S55"/>
      <c r="T55"/>
      <c r="U55"/>
      <c r="V55"/>
      <c r="AM55" s="68"/>
      <c r="AN55" s="68"/>
      <c r="AP55"/>
      <c r="BF55" s="68"/>
    </row>
    <row r="56" spans="3:65" ht="30" customHeight="1"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 s="93"/>
      <c r="S56"/>
      <c r="T56"/>
      <c r="U56"/>
      <c r="V56"/>
      <c r="AM56" s="68"/>
      <c r="AN56" s="68"/>
      <c r="AP56"/>
      <c r="BF56" s="68"/>
    </row>
    <row r="57" spans="3:65" ht="30" customHeight="1"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 s="93"/>
      <c r="S57"/>
      <c r="T57"/>
      <c r="U57"/>
      <c r="V57"/>
      <c r="AP57"/>
      <c r="BF57" s="68"/>
    </row>
    <row r="58" spans="3:65" ht="30" customHeight="1"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 s="93"/>
      <c r="S58"/>
      <c r="T58"/>
      <c r="U58"/>
      <c r="V58"/>
      <c r="AP58"/>
      <c r="BF58" s="68"/>
    </row>
    <row r="59" spans="3:65" ht="30" customHeight="1"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 s="93"/>
      <c r="S59"/>
      <c r="T59"/>
      <c r="U59"/>
      <c r="V59"/>
      <c r="AP59"/>
      <c r="BF59" s="68"/>
    </row>
    <row r="60" spans="3:65" ht="30" customHeight="1"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 s="93"/>
      <c r="S60"/>
      <c r="T60"/>
      <c r="U60"/>
      <c r="V60"/>
      <c r="AP60"/>
      <c r="BF60" s="68"/>
    </row>
    <row r="61" spans="3:65" ht="30" customHeight="1"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 s="93"/>
      <c r="S61"/>
      <c r="T61"/>
      <c r="U61"/>
      <c r="V61"/>
      <c r="AP61"/>
      <c r="BF61" s="68"/>
    </row>
    <row r="62" spans="3:65" ht="30" customHeight="1">
      <c r="C62"/>
      <c r="D62"/>
      <c r="E62"/>
      <c r="F62"/>
      <c r="G62"/>
      <c r="H62"/>
      <c r="I62"/>
      <c r="J62"/>
      <c r="K62"/>
      <c r="L62"/>
      <c r="M62"/>
      <c r="P62"/>
      <c r="Q62"/>
      <c r="R62" s="93"/>
      <c r="S62"/>
      <c r="T62"/>
      <c r="U62"/>
      <c r="V62"/>
      <c r="AP62"/>
      <c r="BF62" s="68"/>
    </row>
    <row r="63" spans="3:65" ht="30" customHeight="1">
      <c r="O63" s="62"/>
      <c r="P63"/>
      <c r="Q63"/>
      <c r="R63" s="93"/>
      <c r="S63"/>
      <c r="T63"/>
      <c r="U63"/>
      <c r="V63"/>
      <c r="AP63"/>
      <c r="BF63" s="68"/>
    </row>
    <row r="64" spans="3:65" ht="30" customHeight="1">
      <c r="P64"/>
      <c r="Q64"/>
      <c r="R64" s="93"/>
      <c r="S64"/>
      <c r="T64"/>
      <c r="U64"/>
      <c r="V64"/>
      <c r="AP64"/>
      <c r="BF64" s="68"/>
    </row>
    <row r="65" spans="16:58" ht="30" customHeight="1">
      <c r="P65"/>
      <c r="Q65"/>
      <c r="R65" s="93"/>
      <c r="S65"/>
      <c r="T65"/>
      <c r="U65"/>
      <c r="V65"/>
      <c r="AP65"/>
      <c r="BF65" s="68"/>
    </row>
    <row r="66" spans="16:58" ht="30" customHeight="1">
      <c r="P66"/>
      <c r="Q66"/>
      <c r="R66" s="93"/>
      <c r="S66"/>
      <c r="T66"/>
      <c r="U66"/>
      <c r="V66"/>
      <c r="AP66"/>
      <c r="BF66" s="68"/>
    </row>
    <row r="67" spans="16:58" ht="14.25" customHeight="1">
      <c r="P67"/>
      <c r="Q67"/>
      <c r="R67" s="93"/>
      <c r="S67"/>
      <c r="T67"/>
      <c r="U67"/>
      <c r="V67"/>
      <c r="AP67"/>
      <c r="BF67" s="68"/>
    </row>
    <row r="68" spans="16:58" ht="30" customHeight="1">
      <c r="P68"/>
      <c r="Q68"/>
      <c r="R68" s="93"/>
      <c r="S68"/>
      <c r="T68"/>
      <c r="U68"/>
      <c r="V68"/>
      <c r="AP68"/>
      <c r="BF68" s="68"/>
    </row>
    <row r="69" spans="16:58" ht="23.25" customHeight="1">
      <c r="P69"/>
      <c r="Q69"/>
      <c r="R69" s="93"/>
      <c r="S69"/>
      <c r="T69"/>
      <c r="U69"/>
      <c r="V69"/>
      <c r="AP69"/>
      <c r="BF69" s="68"/>
    </row>
    <row r="70" spans="16:58">
      <c r="P70"/>
      <c r="Q70"/>
      <c r="R70" s="93"/>
      <c r="S70"/>
      <c r="T70"/>
      <c r="U70"/>
      <c r="AP70"/>
      <c r="BF70" s="68"/>
    </row>
    <row r="71" spans="16:58">
      <c r="R71" s="93"/>
      <c r="S71"/>
      <c r="T71"/>
      <c r="U71"/>
      <c r="V71" s="62"/>
      <c r="AP71"/>
      <c r="BF71" s="68"/>
    </row>
    <row r="72" spans="16:58">
      <c r="P72" s="62"/>
      <c r="Q72" s="62"/>
      <c r="R72" s="93"/>
      <c r="S72"/>
      <c r="T72"/>
      <c r="U72"/>
      <c r="AP72"/>
      <c r="BF72" s="68"/>
    </row>
    <row r="73" spans="16:58">
      <c r="R73" s="93"/>
      <c r="S73"/>
      <c r="T73"/>
      <c r="U73"/>
      <c r="AP73"/>
      <c r="BF73" s="68"/>
    </row>
    <row r="74" spans="16:58">
      <c r="R74" s="93"/>
      <c r="S74"/>
      <c r="T74"/>
      <c r="U74"/>
      <c r="AP74"/>
      <c r="BF74" s="68"/>
    </row>
    <row r="75" spans="16:58">
      <c r="AP75"/>
      <c r="BF75" s="68"/>
    </row>
    <row r="76" spans="16:58">
      <c r="R76" s="94"/>
      <c r="S76" s="62"/>
      <c r="T76" s="62"/>
      <c r="U76" s="62"/>
      <c r="AP76"/>
      <c r="BF76" s="68"/>
    </row>
    <row r="77" spans="16:58">
      <c r="AP77"/>
      <c r="BF77" s="68"/>
    </row>
    <row r="78" spans="16:58">
      <c r="AP78"/>
    </row>
    <row r="79" spans="16:58">
      <c r="AP79"/>
    </row>
    <row r="80" spans="16:58">
      <c r="AP80"/>
    </row>
    <row r="81" spans="42:42">
      <c r="AP81"/>
    </row>
    <row r="82" spans="42:42">
      <c r="AP82"/>
    </row>
    <row r="83" spans="42:42">
      <c r="AP83"/>
    </row>
    <row r="84" spans="42:42">
      <c r="AP84"/>
    </row>
    <row r="85" spans="42:42">
      <c r="AP85"/>
    </row>
    <row r="86" spans="42:42">
      <c r="AP86"/>
    </row>
    <row r="87" spans="42:42">
      <c r="AP87"/>
    </row>
    <row r="88" spans="42:42">
      <c r="AP88"/>
    </row>
    <row r="89" spans="42:42">
      <c r="AP89"/>
    </row>
    <row r="90" spans="42:42">
      <c r="AP90"/>
    </row>
    <row r="91" spans="42:42">
      <c r="AP91"/>
    </row>
  </sheetData>
  <mergeCells count="8">
    <mergeCell ref="F14:L14"/>
    <mergeCell ref="AS36:AU36"/>
    <mergeCell ref="I5:J5"/>
    <mergeCell ref="B7:K7"/>
    <mergeCell ref="I8:K9"/>
    <mergeCell ref="D13:M13"/>
    <mergeCell ref="C8:F8"/>
    <mergeCell ref="C9:F9"/>
  </mergeCells>
  <dataValidations count="7">
    <dataValidation type="list" allowBlank="1" showInputMessage="1" showErrorMessage="1" sqref="C24" xr:uid="{F7667A2F-F3B6-494D-A181-6FEC470CB5F6}">
      <formula1>$BA$14:$BA$40</formula1>
    </dataValidation>
    <dataValidation type="list" allowBlank="1" showInputMessage="1" showErrorMessage="1" sqref="Y24:Y26" xr:uid="{A8B0017F-39C6-2E4F-A7B9-92E909569B74}">
      <formula1>$BT$28:$BT$32</formula1>
    </dataValidation>
    <dataValidation type="list" allowBlank="1" showInputMessage="1" showErrorMessage="1" sqref="V24:V26" xr:uid="{80B20C25-DD22-0C4B-B743-DE174619B4B5}">
      <formula1>$BP$14:$BP$32</formula1>
    </dataValidation>
    <dataValidation type="list" allowBlank="1" showInputMessage="1" showErrorMessage="1" sqref="U24:U26" xr:uid="{9F1D5ED8-0AB5-5B40-81CF-BBCCD5C05D1A}">
      <formula1>$BM$14:$BM$35</formula1>
    </dataValidation>
    <dataValidation type="list" allowBlank="1" showInputMessage="1" showErrorMessage="1" sqref="W16:W26" xr:uid="{539D1A38-8F63-0B4C-9EA7-B90FCB725051}">
      <formula1>$BT$14:$BT$27</formula1>
    </dataValidation>
    <dataValidation type="list" allowBlank="1" showInputMessage="1" showErrorMessage="1" sqref="L16:L24 H24" xr:uid="{9A998DA7-9984-7949-A828-0585FD959350}">
      <formula1>$BE$15:$BE$29</formula1>
    </dataValidation>
    <dataValidation showInputMessage="1" showErrorMessage="1" sqref="H16:H23" xr:uid="{367BAB63-4229-40FC-949D-46EB24D79B12}"/>
  </dataValidations>
  <pageMargins left="0.20398009950248755" right="0.70866141732283472" top="0.74803149606299213" bottom="0.74803149606299213" header="6.6666666666666666E-2" footer="0.31496062992125984"/>
  <pageSetup scale="10" orientation="portrait" horizontalDpi="0" verticalDpi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4871-3CE7-437A-AA2B-EBDD18B0DD86}">
  <dimension ref="A1:H137"/>
  <sheetViews>
    <sheetView zoomScale="94" workbookViewId="0">
      <selection activeCell="A5" sqref="A5"/>
    </sheetView>
  </sheetViews>
  <sheetFormatPr baseColWidth="10" defaultRowHeight="14.25"/>
  <cols>
    <col min="1" max="1" width="33.33203125" customWidth="1"/>
    <col min="2" max="2" width="9.46484375" style="211" customWidth="1"/>
    <col min="3" max="3" width="9.1328125" style="211" customWidth="1"/>
    <col min="4" max="4" width="44.1328125" bestFit="1" customWidth="1"/>
    <col min="5" max="5" width="38.1328125" customWidth="1"/>
  </cols>
  <sheetData>
    <row r="1" spans="1:8" s="107" customFormat="1" ht="39" customHeight="1">
      <c r="A1" s="383" t="s">
        <v>419</v>
      </c>
      <c r="B1" s="383" t="s">
        <v>420</v>
      </c>
      <c r="C1" s="383" t="s">
        <v>421</v>
      </c>
      <c r="D1" s="383" t="s">
        <v>422</v>
      </c>
      <c r="E1" s="383" t="s">
        <v>423</v>
      </c>
      <c r="F1" s="383" t="s">
        <v>424</v>
      </c>
      <c r="G1" s="383" t="s">
        <v>425</v>
      </c>
      <c r="H1" s="383" t="s">
        <v>426</v>
      </c>
    </row>
    <row r="2" spans="1:8">
      <c r="A2" s="124" t="s">
        <v>529</v>
      </c>
      <c r="B2" s="200"/>
      <c r="C2" s="200"/>
      <c r="D2" s="124"/>
      <c r="E2" s="124"/>
      <c r="F2" s="151"/>
      <c r="G2" s="151">
        <v>17000</v>
      </c>
      <c r="H2" s="151"/>
    </row>
    <row r="3" spans="1:8">
      <c r="A3" s="124" t="s">
        <v>530</v>
      </c>
      <c r="B3" s="200"/>
      <c r="C3" s="200"/>
      <c r="D3" s="124"/>
      <c r="E3" s="124"/>
      <c r="F3" s="151"/>
      <c r="G3" s="151">
        <v>19000</v>
      </c>
      <c r="H3" s="151"/>
    </row>
    <row r="4" spans="1:8" ht="28.5">
      <c r="A4" s="124" t="s">
        <v>531</v>
      </c>
      <c r="B4" s="200">
        <v>234</v>
      </c>
      <c r="C4" s="200">
        <v>154</v>
      </c>
      <c r="D4" s="124" t="s">
        <v>427</v>
      </c>
      <c r="E4" s="124" t="s">
        <v>428</v>
      </c>
      <c r="F4" s="151">
        <v>5200</v>
      </c>
      <c r="G4" s="151"/>
      <c r="H4" s="151"/>
    </row>
    <row r="5" spans="1:8" ht="28.5">
      <c r="A5" s="124" t="s">
        <v>532</v>
      </c>
      <c r="B5" s="200">
        <v>304</v>
      </c>
      <c r="C5" s="200">
        <v>204</v>
      </c>
      <c r="D5" s="124" t="s">
        <v>429</v>
      </c>
      <c r="E5" s="124" t="s">
        <v>428</v>
      </c>
      <c r="F5" s="151">
        <v>10300</v>
      </c>
      <c r="G5" s="151"/>
      <c r="H5" s="151"/>
    </row>
    <row r="6" spans="1:8" ht="28.5">
      <c r="A6" s="124" t="s">
        <v>533</v>
      </c>
      <c r="B6" s="200">
        <v>154</v>
      </c>
      <c r="C6" s="200">
        <v>105</v>
      </c>
      <c r="D6" s="124" t="s">
        <v>430</v>
      </c>
      <c r="E6" s="124" t="s">
        <v>428</v>
      </c>
      <c r="F6" s="151">
        <v>4000</v>
      </c>
      <c r="G6" s="151"/>
      <c r="H6" s="151"/>
    </row>
    <row r="7" spans="1:8">
      <c r="A7" s="152" t="s">
        <v>609</v>
      </c>
      <c r="B7" s="200"/>
      <c r="C7" s="200"/>
      <c r="D7" s="124" t="s">
        <v>431</v>
      </c>
      <c r="E7" s="124" t="s">
        <v>431</v>
      </c>
      <c r="F7" s="151"/>
      <c r="G7" s="151">
        <v>11000</v>
      </c>
      <c r="H7" s="151"/>
    </row>
    <row r="8" spans="1:8" ht="31.5">
      <c r="A8" s="326" t="s">
        <v>535</v>
      </c>
      <c r="B8" s="200"/>
      <c r="C8" s="200"/>
      <c r="D8" s="124" t="s">
        <v>431</v>
      </c>
      <c r="E8" s="124" t="s">
        <v>431</v>
      </c>
      <c r="F8" s="151"/>
      <c r="G8" s="151">
        <v>18000</v>
      </c>
      <c r="H8" s="151"/>
    </row>
    <row r="9" spans="1:8">
      <c r="A9" s="124" t="s">
        <v>536</v>
      </c>
      <c r="B9" s="200"/>
      <c r="C9" s="200"/>
      <c r="D9" s="124" t="s">
        <v>431</v>
      </c>
      <c r="E9" s="124" t="s">
        <v>431</v>
      </c>
      <c r="F9" s="151"/>
      <c r="G9" s="151">
        <v>16000</v>
      </c>
      <c r="H9" s="151"/>
    </row>
    <row r="10" spans="1:8" ht="28.5">
      <c r="A10" s="124" t="s">
        <v>610</v>
      </c>
      <c r="B10" s="200"/>
      <c r="C10" s="200"/>
      <c r="D10" s="124" t="s">
        <v>433</v>
      </c>
      <c r="E10" s="124" t="s">
        <v>431</v>
      </c>
      <c r="F10" s="151">
        <v>0</v>
      </c>
      <c r="G10" s="151">
        <v>40000</v>
      </c>
      <c r="H10" s="151">
        <v>0</v>
      </c>
    </row>
    <row r="11" spans="1:8" ht="28.5">
      <c r="A11" s="124" t="s">
        <v>434</v>
      </c>
      <c r="B11" s="200"/>
      <c r="C11" s="200"/>
      <c r="D11" s="124" t="s">
        <v>433</v>
      </c>
      <c r="E11" s="124" t="s">
        <v>431</v>
      </c>
      <c r="F11" s="151">
        <v>0</v>
      </c>
      <c r="G11" s="151">
        <v>70000</v>
      </c>
      <c r="H11" s="151">
        <v>0</v>
      </c>
    </row>
    <row r="12" spans="1:8">
      <c r="A12" s="124" t="s">
        <v>435</v>
      </c>
      <c r="B12" s="200">
        <v>22</v>
      </c>
      <c r="C12" s="200">
        <v>66</v>
      </c>
      <c r="D12" s="124" t="s">
        <v>436</v>
      </c>
      <c r="E12" s="124" t="s">
        <v>431</v>
      </c>
      <c r="F12" s="151">
        <v>4100</v>
      </c>
      <c r="G12" s="151">
        <v>0</v>
      </c>
      <c r="H12" s="151">
        <v>0</v>
      </c>
    </row>
    <row r="13" spans="1:8" ht="28.5">
      <c r="A13" s="124" t="s">
        <v>437</v>
      </c>
      <c r="B13" s="200">
        <v>22</v>
      </c>
      <c r="C13" s="200">
        <v>35</v>
      </c>
      <c r="D13" s="124" t="s">
        <v>438</v>
      </c>
      <c r="E13" s="124" t="s">
        <v>439</v>
      </c>
      <c r="F13" s="151">
        <v>3700</v>
      </c>
      <c r="G13" s="151">
        <v>0</v>
      </c>
      <c r="H13" s="151">
        <v>0</v>
      </c>
    </row>
    <row r="14" spans="1:8">
      <c r="A14" s="124" t="s">
        <v>440</v>
      </c>
      <c r="B14" s="200"/>
      <c r="C14" s="200"/>
      <c r="D14" s="124" t="s">
        <v>441</v>
      </c>
      <c r="E14" s="124" t="s">
        <v>442</v>
      </c>
      <c r="F14" s="151">
        <v>7000</v>
      </c>
      <c r="G14" s="151">
        <v>0</v>
      </c>
      <c r="H14" s="151">
        <v>0</v>
      </c>
    </row>
    <row r="15" spans="1:8">
      <c r="A15" s="152" t="s">
        <v>611</v>
      </c>
      <c r="B15" s="200"/>
      <c r="C15" s="200"/>
      <c r="D15" s="124" t="s">
        <v>431</v>
      </c>
      <c r="E15" s="124" t="s">
        <v>431</v>
      </c>
      <c r="F15" s="151"/>
      <c r="G15" s="151">
        <v>10000</v>
      </c>
      <c r="H15" s="151"/>
    </row>
    <row r="16" spans="1:8">
      <c r="A16" s="124" t="s">
        <v>443</v>
      </c>
      <c r="B16" s="200">
        <v>20</v>
      </c>
      <c r="C16" s="200">
        <v>50</v>
      </c>
      <c r="D16" s="124" t="s">
        <v>444</v>
      </c>
      <c r="E16" s="124" t="s">
        <v>445</v>
      </c>
      <c r="F16" s="151">
        <v>3300</v>
      </c>
      <c r="G16" s="151">
        <v>0</v>
      </c>
      <c r="H16" s="151">
        <v>0</v>
      </c>
    </row>
    <row r="17" spans="1:8" ht="28.5">
      <c r="A17" s="124" t="s">
        <v>446</v>
      </c>
      <c r="B17" s="200">
        <v>20</v>
      </c>
      <c r="C17" s="200">
        <v>26</v>
      </c>
      <c r="D17" s="124" t="s">
        <v>447</v>
      </c>
      <c r="E17" s="124" t="s">
        <v>448</v>
      </c>
      <c r="F17" s="151">
        <v>3000</v>
      </c>
      <c r="G17" s="151">
        <v>0</v>
      </c>
      <c r="H17" s="151">
        <v>0</v>
      </c>
    </row>
    <row r="18" spans="1:8">
      <c r="A18" s="124" t="s">
        <v>449</v>
      </c>
      <c r="B18" s="200">
        <v>20</v>
      </c>
      <c r="C18" s="200">
        <v>25</v>
      </c>
      <c r="D18" s="124" t="s">
        <v>438</v>
      </c>
      <c r="E18" s="124" t="s">
        <v>450</v>
      </c>
      <c r="F18" s="151">
        <v>3000</v>
      </c>
      <c r="G18" s="151">
        <v>0</v>
      </c>
      <c r="H18" s="151">
        <v>0</v>
      </c>
    </row>
    <row r="19" spans="1:8" ht="28.5">
      <c r="A19" s="124" t="s">
        <v>451</v>
      </c>
      <c r="B19" s="200">
        <v>26</v>
      </c>
      <c r="C19" s="200">
        <v>26</v>
      </c>
      <c r="D19" s="124" t="s">
        <v>452</v>
      </c>
      <c r="E19" s="124" t="s">
        <v>453</v>
      </c>
      <c r="F19" s="151">
        <v>3000</v>
      </c>
      <c r="G19" s="151">
        <v>0</v>
      </c>
      <c r="H19" s="151">
        <v>0</v>
      </c>
    </row>
    <row r="20" spans="1:8" ht="28.5">
      <c r="A20" s="124" t="s">
        <v>538</v>
      </c>
      <c r="B20" s="200">
        <v>232</v>
      </c>
      <c r="C20" s="200">
        <v>232</v>
      </c>
      <c r="D20" s="124" t="s">
        <v>454</v>
      </c>
      <c r="E20" s="124" t="s">
        <v>455</v>
      </c>
      <c r="F20" s="151">
        <v>8000</v>
      </c>
      <c r="G20" s="151">
        <v>0</v>
      </c>
      <c r="H20" s="151">
        <v>0</v>
      </c>
    </row>
    <row r="21" spans="1:8" ht="28.5">
      <c r="A21" s="124" t="s">
        <v>456</v>
      </c>
      <c r="B21" s="200">
        <v>52</v>
      </c>
      <c r="C21" s="200">
        <v>72</v>
      </c>
      <c r="D21" s="124" t="s">
        <v>457</v>
      </c>
      <c r="E21" s="124" t="s">
        <v>458</v>
      </c>
      <c r="F21" s="151">
        <v>4500</v>
      </c>
      <c r="G21" s="151">
        <v>0</v>
      </c>
      <c r="H21" s="151">
        <v>0</v>
      </c>
    </row>
    <row r="22" spans="1:8" ht="28.5">
      <c r="A22" s="124" t="s">
        <v>459</v>
      </c>
      <c r="B22" s="200">
        <v>52</v>
      </c>
      <c r="C22" s="200">
        <v>73</v>
      </c>
      <c r="D22" s="124" t="s">
        <v>460</v>
      </c>
      <c r="E22" s="124" t="s">
        <v>461</v>
      </c>
      <c r="F22" s="151">
        <v>3500</v>
      </c>
      <c r="G22" s="151">
        <v>0</v>
      </c>
      <c r="H22" s="151">
        <v>0</v>
      </c>
    </row>
    <row r="23" spans="1:8" ht="28.5">
      <c r="A23" s="124" t="s">
        <v>462</v>
      </c>
      <c r="B23" s="200">
        <v>52</v>
      </c>
      <c r="C23" s="200">
        <v>92</v>
      </c>
      <c r="D23" s="124" t="s">
        <v>457</v>
      </c>
      <c r="E23" s="124" t="s">
        <v>458</v>
      </c>
      <c r="F23" s="151">
        <v>5500</v>
      </c>
      <c r="G23" s="151">
        <v>0</v>
      </c>
      <c r="H23" s="151">
        <v>0</v>
      </c>
    </row>
    <row r="24" spans="1:8" ht="28.5">
      <c r="A24" s="124" t="s">
        <v>463</v>
      </c>
      <c r="B24" s="200">
        <v>52</v>
      </c>
      <c r="C24" s="200">
        <v>93</v>
      </c>
      <c r="D24" s="124" t="s">
        <v>464</v>
      </c>
      <c r="E24" s="124" t="s">
        <v>465</v>
      </c>
      <c r="F24" s="151">
        <v>4000</v>
      </c>
      <c r="G24" s="151">
        <v>0</v>
      </c>
      <c r="H24" s="151">
        <v>0</v>
      </c>
    </row>
    <row r="25" spans="1:8" ht="28.5">
      <c r="A25" s="124" t="s">
        <v>466</v>
      </c>
      <c r="B25" s="200">
        <v>43</v>
      </c>
      <c r="C25" s="200">
        <v>42</v>
      </c>
      <c r="D25" s="124" t="s">
        <v>467</v>
      </c>
      <c r="E25" s="124" t="s">
        <v>458</v>
      </c>
      <c r="F25" s="151">
        <v>3500</v>
      </c>
      <c r="G25" s="151">
        <v>0</v>
      </c>
      <c r="H25" s="151">
        <v>0</v>
      </c>
    </row>
    <row r="26" spans="1:8" ht="28.5">
      <c r="A26" s="124" t="s">
        <v>468</v>
      </c>
      <c r="B26" s="200">
        <v>43</v>
      </c>
      <c r="C26" s="200">
        <v>42</v>
      </c>
      <c r="D26" s="124" t="s">
        <v>464</v>
      </c>
      <c r="E26" s="124" t="s">
        <v>465</v>
      </c>
      <c r="F26" s="151">
        <v>3800</v>
      </c>
      <c r="G26" s="151">
        <v>0</v>
      </c>
      <c r="H26" s="151">
        <v>0</v>
      </c>
    </row>
    <row r="27" spans="1:8" ht="28.5">
      <c r="A27" s="124" t="s">
        <v>469</v>
      </c>
      <c r="B27" s="200">
        <v>53</v>
      </c>
      <c r="C27" s="200">
        <v>52</v>
      </c>
      <c r="D27" s="124" t="s">
        <v>464</v>
      </c>
      <c r="E27" s="124" t="s">
        <v>465</v>
      </c>
      <c r="F27" s="151">
        <v>4000</v>
      </c>
      <c r="G27" s="151">
        <v>0</v>
      </c>
      <c r="H27" s="151">
        <v>0</v>
      </c>
    </row>
    <row r="28" spans="1:8" ht="28.5">
      <c r="A28" s="124" t="s">
        <v>470</v>
      </c>
      <c r="B28" s="200">
        <v>53</v>
      </c>
      <c r="C28" s="200">
        <v>52</v>
      </c>
      <c r="D28" s="124" t="s">
        <v>464</v>
      </c>
      <c r="E28" s="124" t="s">
        <v>465</v>
      </c>
      <c r="F28" s="151">
        <v>4200</v>
      </c>
      <c r="G28" s="151">
        <v>0</v>
      </c>
      <c r="H28" s="151">
        <v>0</v>
      </c>
    </row>
    <row r="29" spans="1:8" ht="28.5">
      <c r="A29" s="124" t="s">
        <v>612</v>
      </c>
      <c r="B29" s="200"/>
      <c r="C29" s="200"/>
      <c r="D29" s="124" t="s">
        <v>471</v>
      </c>
      <c r="E29" s="124" t="s">
        <v>472</v>
      </c>
      <c r="F29" s="151">
        <v>20000</v>
      </c>
      <c r="G29" s="151"/>
      <c r="H29" s="151"/>
    </row>
    <row r="30" spans="1:8" ht="28.5">
      <c r="A30" s="124" t="s">
        <v>540</v>
      </c>
      <c r="B30" s="200"/>
      <c r="C30" s="200"/>
      <c r="D30" s="124" t="s">
        <v>473</v>
      </c>
      <c r="E30" s="124" t="s">
        <v>474</v>
      </c>
      <c r="F30" s="151">
        <v>25000</v>
      </c>
      <c r="G30" s="151"/>
      <c r="H30" s="151"/>
    </row>
    <row r="31" spans="1:8" ht="42.75">
      <c r="A31" s="124" t="s">
        <v>541</v>
      </c>
      <c r="B31" s="200"/>
      <c r="C31" s="200"/>
      <c r="D31" s="124" t="s">
        <v>475</v>
      </c>
      <c r="E31" s="124" t="s">
        <v>476</v>
      </c>
      <c r="F31" s="151">
        <v>23000</v>
      </c>
      <c r="G31" s="151">
        <v>7500</v>
      </c>
      <c r="H31" s="151">
        <v>4000</v>
      </c>
    </row>
    <row r="32" spans="1:8" ht="42.75">
      <c r="A32" s="124" t="s">
        <v>542</v>
      </c>
      <c r="B32" s="200"/>
      <c r="C32" s="200"/>
      <c r="D32" s="124" t="s">
        <v>475</v>
      </c>
      <c r="E32" s="124" t="s">
        <v>476</v>
      </c>
      <c r="F32" s="151">
        <v>23000</v>
      </c>
      <c r="G32" s="151">
        <v>0</v>
      </c>
      <c r="H32" s="151">
        <v>0</v>
      </c>
    </row>
    <row r="33" spans="1:8" ht="42.75">
      <c r="A33" s="124" t="s">
        <v>543</v>
      </c>
      <c r="B33" s="200"/>
      <c r="C33" s="200"/>
      <c r="D33" s="124" t="s">
        <v>475</v>
      </c>
      <c r="E33" s="124" t="s">
        <v>476</v>
      </c>
      <c r="F33" s="151">
        <v>23000</v>
      </c>
      <c r="G33" s="151">
        <v>15000</v>
      </c>
      <c r="H33" s="151">
        <v>4000</v>
      </c>
    </row>
    <row r="34" spans="1:8" ht="42.75">
      <c r="A34" s="124" t="s">
        <v>544</v>
      </c>
      <c r="B34" s="200"/>
      <c r="C34" s="200"/>
      <c r="D34" s="124" t="s">
        <v>475</v>
      </c>
      <c r="E34" s="124" t="s">
        <v>476</v>
      </c>
      <c r="F34" s="151">
        <v>23000</v>
      </c>
      <c r="G34" s="151">
        <v>12000</v>
      </c>
      <c r="H34" s="151">
        <v>4000</v>
      </c>
    </row>
    <row r="35" spans="1:8" ht="28.5">
      <c r="A35" s="124" t="s">
        <v>545</v>
      </c>
      <c r="B35" s="200"/>
      <c r="C35" s="200"/>
      <c r="D35" s="124" t="s">
        <v>475</v>
      </c>
      <c r="E35" s="124" t="s">
        <v>477</v>
      </c>
      <c r="F35" s="151">
        <v>10000</v>
      </c>
      <c r="G35" s="151">
        <v>0</v>
      </c>
      <c r="H35" s="151">
        <v>0</v>
      </c>
    </row>
    <row r="36" spans="1:8" ht="42.75">
      <c r="A36" s="124" t="s">
        <v>546</v>
      </c>
      <c r="B36" s="200"/>
      <c r="C36" s="200"/>
      <c r="D36" s="124" t="s">
        <v>475</v>
      </c>
      <c r="E36" s="124" t="s">
        <v>477</v>
      </c>
      <c r="F36" s="151">
        <v>10000</v>
      </c>
      <c r="G36" s="151">
        <v>7500</v>
      </c>
      <c r="H36" s="151">
        <v>4000</v>
      </c>
    </row>
    <row r="37" spans="1:8" ht="57">
      <c r="A37" s="124" t="s">
        <v>547</v>
      </c>
      <c r="B37" s="200"/>
      <c r="C37" s="200"/>
      <c r="D37" s="124" t="s">
        <v>475</v>
      </c>
      <c r="E37" s="124" t="s">
        <v>477</v>
      </c>
      <c r="F37" s="151">
        <v>10000</v>
      </c>
      <c r="G37" s="151">
        <v>15000</v>
      </c>
      <c r="H37" s="151">
        <v>4000</v>
      </c>
    </row>
    <row r="38" spans="1:8" ht="42.75">
      <c r="A38" s="124" t="s">
        <v>548</v>
      </c>
      <c r="B38" s="200"/>
      <c r="C38" s="200"/>
      <c r="D38" s="124" t="s">
        <v>475</v>
      </c>
      <c r="E38" s="124" t="s">
        <v>477</v>
      </c>
      <c r="F38" s="151">
        <v>10000</v>
      </c>
      <c r="G38" s="151">
        <v>12000</v>
      </c>
      <c r="H38" s="151">
        <v>4000</v>
      </c>
    </row>
    <row r="39" spans="1:8" ht="28.5">
      <c r="A39" s="124" t="s">
        <v>613</v>
      </c>
      <c r="B39" s="200"/>
      <c r="C39" s="200"/>
      <c r="D39" s="124" t="s">
        <v>475</v>
      </c>
      <c r="E39" s="124" t="s">
        <v>478</v>
      </c>
      <c r="F39" s="151">
        <v>15000</v>
      </c>
      <c r="G39" s="151">
        <v>0</v>
      </c>
      <c r="H39" s="151">
        <v>0</v>
      </c>
    </row>
    <row r="40" spans="1:8" ht="28.5">
      <c r="A40" s="124" t="s">
        <v>614</v>
      </c>
      <c r="B40" s="200"/>
      <c r="C40" s="200"/>
      <c r="D40" s="124" t="s">
        <v>475</v>
      </c>
      <c r="E40" s="124" t="s">
        <v>478</v>
      </c>
      <c r="F40" s="151">
        <v>16000</v>
      </c>
      <c r="G40" s="151">
        <v>0</v>
      </c>
      <c r="H40" s="151">
        <v>0</v>
      </c>
    </row>
    <row r="41" spans="1:8" ht="28.5">
      <c r="A41" s="124" t="s">
        <v>551</v>
      </c>
      <c r="B41" s="200"/>
      <c r="C41" s="200"/>
      <c r="D41" s="124" t="s">
        <v>475</v>
      </c>
      <c r="E41" s="124" t="s">
        <v>479</v>
      </c>
      <c r="F41" s="151">
        <v>12000</v>
      </c>
      <c r="G41" s="151">
        <v>0</v>
      </c>
      <c r="H41" s="151">
        <v>0</v>
      </c>
    </row>
    <row r="42" spans="1:8" ht="28.5">
      <c r="A42" s="152" t="s">
        <v>615</v>
      </c>
      <c r="B42" s="384"/>
      <c r="C42" s="384"/>
      <c r="D42" s="124" t="s">
        <v>475</v>
      </c>
      <c r="E42" s="124" t="s">
        <v>480</v>
      </c>
      <c r="F42" s="151">
        <v>18000</v>
      </c>
      <c r="G42" s="151">
        <v>0</v>
      </c>
      <c r="H42" s="151">
        <v>0</v>
      </c>
    </row>
    <row r="43" spans="1:8" ht="42.75">
      <c r="A43" s="124" t="s">
        <v>553</v>
      </c>
      <c r="B43" s="200"/>
      <c r="C43" s="200"/>
      <c r="D43" s="124" t="s">
        <v>475</v>
      </c>
      <c r="E43" s="124" t="s">
        <v>481</v>
      </c>
      <c r="F43" s="151">
        <v>23000</v>
      </c>
      <c r="G43" s="151"/>
      <c r="H43" s="151"/>
    </row>
    <row r="44" spans="1:8" ht="57">
      <c r="A44" s="124" t="s">
        <v>554</v>
      </c>
      <c r="B44" s="200"/>
      <c r="C44" s="200"/>
      <c r="D44" s="124" t="s">
        <v>475</v>
      </c>
      <c r="E44" s="124" t="s">
        <v>481</v>
      </c>
      <c r="F44" s="151">
        <v>45000</v>
      </c>
      <c r="G44" s="151">
        <v>15000</v>
      </c>
      <c r="H44" s="151">
        <v>4000</v>
      </c>
    </row>
    <row r="45" spans="1:8" ht="42.75">
      <c r="A45" s="124" t="s">
        <v>555</v>
      </c>
      <c r="B45" s="200"/>
      <c r="C45" s="200"/>
      <c r="D45" s="124" t="s">
        <v>475</v>
      </c>
      <c r="E45" s="124" t="s">
        <v>477</v>
      </c>
      <c r="F45" s="151">
        <v>18000</v>
      </c>
      <c r="G45" s="151">
        <v>15000</v>
      </c>
      <c r="H45" s="151">
        <v>7000</v>
      </c>
    </row>
    <row r="46" spans="1:8" ht="42.75">
      <c r="A46" s="124" t="s">
        <v>556</v>
      </c>
      <c r="B46" s="200"/>
      <c r="C46" s="200"/>
      <c r="D46" s="124" t="s">
        <v>475</v>
      </c>
      <c r="E46" s="124" t="s">
        <v>480</v>
      </c>
      <c r="F46" s="151">
        <v>18000</v>
      </c>
      <c r="G46" s="151">
        <v>12000</v>
      </c>
      <c r="H46" s="151">
        <v>5000</v>
      </c>
    </row>
    <row r="47" spans="1:8">
      <c r="A47" s="124" t="s">
        <v>557</v>
      </c>
      <c r="B47" s="200">
        <v>150</v>
      </c>
      <c r="C47" s="200">
        <v>150</v>
      </c>
      <c r="D47" s="124" t="s">
        <v>471</v>
      </c>
      <c r="E47" s="124" t="s">
        <v>480</v>
      </c>
      <c r="F47" s="151">
        <v>4000</v>
      </c>
      <c r="G47" s="151">
        <v>0</v>
      </c>
      <c r="H47" s="151">
        <v>0</v>
      </c>
    </row>
    <row r="48" spans="1:8" ht="28.5">
      <c r="A48" s="124" t="s">
        <v>558</v>
      </c>
      <c r="B48" s="200">
        <v>212</v>
      </c>
      <c r="C48" s="200">
        <v>3.02</v>
      </c>
      <c r="D48" s="124" t="s">
        <v>482</v>
      </c>
      <c r="E48" s="124" t="s">
        <v>483</v>
      </c>
      <c r="F48" s="151">
        <v>7000</v>
      </c>
      <c r="G48" s="151">
        <v>0</v>
      </c>
      <c r="H48" s="151">
        <v>0</v>
      </c>
    </row>
    <row r="49" spans="1:8" ht="28.5">
      <c r="A49" s="124" t="s">
        <v>484</v>
      </c>
      <c r="B49" s="200">
        <v>232</v>
      </c>
      <c r="C49" s="200">
        <v>79</v>
      </c>
      <c r="D49" s="124" t="s">
        <v>485</v>
      </c>
      <c r="E49" s="124" t="s">
        <v>486</v>
      </c>
      <c r="F49" s="151">
        <v>10000</v>
      </c>
      <c r="G49" s="151">
        <v>85000</v>
      </c>
      <c r="H49" s="151">
        <v>0</v>
      </c>
    </row>
    <row r="50" spans="1:8" ht="28.5">
      <c r="A50" s="124" t="s">
        <v>487</v>
      </c>
      <c r="B50" s="200"/>
      <c r="C50" s="200"/>
      <c r="D50" s="124" t="s">
        <v>485</v>
      </c>
      <c r="E50" s="124" t="s">
        <v>488</v>
      </c>
      <c r="F50" s="151">
        <v>0</v>
      </c>
      <c r="G50" s="151">
        <v>85000</v>
      </c>
      <c r="H50" s="151">
        <v>0</v>
      </c>
    </row>
    <row r="51" spans="1:8" ht="28.5">
      <c r="A51" s="124" t="s">
        <v>489</v>
      </c>
      <c r="B51" s="200">
        <v>232</v>
      </c>
      <c r="C51" s="200">
        <v>254</v>
      </c>
      <c r="D51" s="124" t="s">
        <v>485</v>
      </c>
      <c r="E51" s="124" t="s">
        <v>486</v>
      </c>
      <c r="F51" s="151">
        <v>15000</v>
      </c>
      <c r="G51" s="151">
        <v>120000</v>
      </c>
      <c r="H51" s="151">
        <v>0</v>
      </c>
    </row>
    <row r="52" spans="1:8" ht="28.5">
      <c r="A52" s="124" t="s">
        <v>490</v>
      </c>
      <c r="B52" s="200"/>
      <c r="C52" s="200"/>
      <c r="D52" s="124" t="s">
        <v>485</v>
      </c>
      <c r="E52" s="124" t="s">
        <v>488</v>
      </c>
      <c r="F52" s="151"/>
      <c r="G52" s="151">
        <v>12000</v>
      </c>
      <c r="H52" s="151">
        <v>0</v>
      </c>
    </row>
    <row r="53" spans="1:8" ht="28.5">
      <c r="A53" s="124" t="s">
        <v>491</v>
      </c>
      <c r="B53" s="200">
        <v>232</v>
      </c>
      <c r="C53" s="200">
        <v>234</v>
      </c>
      <c r="D53" s="124" t="s">
        <v>485</v>
      </c>
      <c r="E53" s="124" t="s">
        <v>486</v>
      </c>
      <c r="F53" s="151">
        <v>18000</v>
      </c>
      <c r="G53" s="151">
        <v>140000</v>
      </c>
      <c r="H53" s="151">
        <v>0</v>
      </c>
    </row>
    <row r="54" spans="1:8" ht="28.5">
      <c r="A54" s="124" t="s">
        <v>492</v>
      </c>
      <c r="B54" s="200"/>
      <c r="C54" s="200"/>
      <c r="D54" s="124" t="s">
        <v>485</v>
      </c>
      <c r="E54" s="124" t="s">
        <v>488</v>
      </c>
      <c r="F54" s="151">
        <v>0</v>
      </c>
      <c r="G54" s="151">
        <v>140000</v>
      </c>
      <c r="H54" s="151">
        <v>0</v>
      </c>
    </row>
    <row r="55" spans="1:8" ht="28.5">
      <c r="A55" s="124" t="s">
        <v>493</v>
      </c>
      <c r="B55" s="200">
        <v>232</v>
      </c>
      <c r="C55" s="200">
        <v>304</v>
      </c>
      <c r="D55" s="124" t="s">
        <v>485</v>
      </c>
      <c r="E55" s="124" t="s">
        <v>486</v>
      </c>
      <c r="F55" s="151">
        <v>20000</v>
      </c>
      <c r="G55" s="151">
        <v>170000</v>
      </c>
      <c r="H55" s="151">
        <v>0</v>
      </c>
    </row>
    <row r="56" spans="1:8" ht="28.5">
      <c r="A56" s="124" t="s">
        <v>494</v>
      </c>
      <c r="B56" s="200"/>
      <c r="C56" s="200"/>
      <c r="D56" s="124" t="s">
        <v>485</v>
      </c>
      <c r="E56" s="124" t="s">
        <v>488</v>
      </c>
      <c r="F56" s="151">
        <v>0</v>
      </c>
      <c r="G56" s="151">
        <v>170000</v>
      </c>
      <c r="H56" s="151">
        <v>0</v>
      </c>
    </row>
    <row r="57" spans="1:8" ht="28.5">
      <c r="A57" s="124" t="s">
        <v>495</v>
      </c>
      <c r="B57" s="200">
        <v>232</v>
      </c>
      <c r="C57" s="200">
        <v>379</v>
      </c>
      <c r="D57" s="124" t="s">
        <v>485</v>
      </c>
      <c r="E57" s="124" t="s">
        <v>486</v>
      </c>
      <c r="F57" s="151">
        <v>23000</v>
      </c>
      <c r="G57" s="151">
        <v>205000</v>
      </c>
      <c r="H57" s="151">
        <v>0</v>
      </c>
    </row>
    <row r="58" spans="1:8" ht="28.5">
      <c r="A58" s="124" t="s">
        <v>496</v>
      </c>
      <c r="B58" s="200"/>
      <c r="C58" s="200"/>
      <c r="D58" s="124" t="s">
        <v>485</v>
      </c>
      <c r="E58" s="124" t="s">
        <v>488</v>
      </c>
      <c r="F58" s="151">
        <v>0</v>
      </c>
      <c r="G58" s="151">
        <v>205000</v>
      </c>
      <c r="H58" s="151">
        <v>0</v>
      </c>
    </row>
    <row r="59" spans="1:8" ht="28.5">
      <c r="A59" s="124" t="s">
        <v>497</v>
      </c>
      <c r="B59" s="200">
        <v>232</v>
      </c>
      <c r="C59" s="200">
        <v>454</v>
      </c>
      <c r="D59" s="124" t="s">
        <v>485</v>
      </c>
      <c r="E59" s="124" t="s">
        <v>486</v>
      </c>
      <c r="F59" s="151">
        <v>25000</v>
      </c>
      <c r="G59" s="151">
        <v>245000</v>
      </c>
      <c r="H59" s="151">
        <v>0</v>
      </c>
    </row>
    <row r="60" spans="1:8" ht="28.5">
      <c r="A60" s="124" t="s">
        <v>498</v>
      </c>
      <c r="B60" s="200"/>
      <c r="C60" s="200"/>
      <c r="D60" s="124" t="s">
        <v>485</v>
      </c>
      <c r="E60" s="124" t="s">
        <v>488</v>
      </c>
      <c r="F60" s="151">
        <v>0</v>
      </c>
      <c r="G60" s="151">
        <v>245000</v>
      </c>
      <c r="H60" s="151">
        <v>0</v>
      </c>
    </row>
    <row r="61" spans="1:8">
      <c r="A61" s="124" t="s">
        <v>499</v>
      </c>
      <c r="B61" s="200">
        <v>104</v>
      </c>
      <c r="C61" s="200">
        <v>104</v>
      </c>
      <c r="D61" s="124" t="s">
        <v>500</v>
      </c>
      <c r="E61" s="124" t="s">
        <v>480</v>
      </c>
      <c r="F61" s="151">
        <v>5000</v>
      </c>
      <c r="G61" s="151">
        <v>0</v>
      </c>
      <c r="H61" s="151">
        <v>0</v>
      </c>
    </row>
    <row r="62" spans="1:8">
      <c r="A62" s="124" t="s">
        <v>501</v>
      </c>
      <c r="B62" s="200">
        <v>54</v>
      </c>
      <c r="C62" s="200">
        <v>54</v>
      </c>
      <c r="D62" s="124" t="s">
        <v>500</v>
      </c>
      <c r="E62" s="124" t="s">
        <v>480</v>
      </c>
      <c r="F62" s="151">
        <v>2000</v>
      </c>
      <c r="G62" s="151">
        <v>0</v>
      </c>
      <c r="H62" s="151">
        <v>0</v>
      </c>
    </row>
    <row r="63" spans="1:8">
      <c r="A63" s="124" t="s">
        <v>502</v>
      </c>
      <c r="B63" s="200">
        <v>74</v>
      </c>
      <c r="C63" s="200">
        <v>74</v>
      </c>
      <c r="D63" s="124" t="s">
        <v>500</v>
      </c>
      <c r="E63" s="124" t="s">
        <v>480</v>
      </c>
      <c r="F63" s="151">
        <v>3000</v>
      </c>
      <c r="G63" s="151">
        <v>0</v>
      </c>
      <c r="H63" s="151">
        <v>0</v>
      </c>
    </row>
    <row r="64" spans="1:8">
      <c r="A64" s="124" t="s">
        <v>503</v>
      </c>
      <c r="B64" s="200">
        <v>94</v>
      </c>
      <c r="C64" s="200">
        <v>94</v>
      </c>
      <c r="D64" s="124" t="s">
        <v>500</v>
      </c>
      <c r="E64" s="124" t="s">
        <v>480</v>
      </c>
      <c r="F64" s="151">
        <v>4000</v>
      </c>
      <c r="G64" s="151">
        <v>0</v>
      </c>
      <c r="H64" s="151">
        <v>0</v>
      </c>
    </row>
    <row r="65" spans="1:8">
      <c r="A65" s="124" t="s">
        <v>504</v>
      </c>
      <c r="B65" s="200">
        <v>144</v>
      </c>
      <c r="C65" s="200">
        <v>144</v>
      </c>
      <c r="D65" s="124" t="s">
        <v>500</v>
      </c>
      <c r="E65" s="124" t="s">
        <v>480</v>
      </c>
      <c r="F65" s="151">
        <v>6000</v>
      </c>
      <c r="G65" s="151">
        <v>0</v>
      </c>
      <c r="H65" s="151">
        <v>0</v>
      </c>
    </row>
    <row r="66" spans="1:8">
      <c r="A66" s="124" t="s">
        <v>559</v>
      </c>
      <c r="B66" s="200">
        <v>62</v>
      </c>
      <c r="C66" s="200">
        <v>92</v>
      </c>
      <c r="D66" s="124" t="s">
        <v>505</v>
      </c>
      <c r="E66" s="124" t="s">
        <v>458</v>
      </c>
      <c r="F66" s="151">
        <v>6000</v>
      </c>
      <c r="G66" s="151">
        <v>0</v>
      </c>
      <c r="H66" s="151">
        <v>0</v>
      </c>
    </row>
    <row r="67" spans="1:8">
      <c r="A67" s="124" t="s">
        <v>560</v>
      </c>
      <c r="B67" s="200">
        <v>62</v>
      </c>
      <c r="C67" s="200">
        <v>67</v>
      </c>
      <c r="D67" s="124" t="s">
        <v>506</v>
      </c>
      <c r="E67" s="124" t="s">
        <v>458</v>
      </c>
      <c r="F67" s="151">
        <v>4000</v>
      </c>
      <c r="G67" s="151">
        <v>0</v>
      </c>
      <c r="H67" s="151">
        <v>0</v>
      </c>
    </row>
    <row r="68" spans="1:8">
      <c r="A68" s="124" t="s">
        <v>561</v>
      </c>
      <c r="B68" s="200">
        <v>42</v>
      </c>
      <c r="C68" s="200">
        <v>66</v>
      </c>
      <c r="D68" s="124" t="s">
        <v>505</v>
      </c>
      <c r="E68" s="124" t="s">
        <v>458</v>
      </c>
      <c r="F68" s="151">
        <v>4500</v>
      </c>
      <c r="G68" s="151">
        <v>0</v>
      </c>
      <c r="H68" s="151">
        <v>0</v>
      </c>
    </row>
    <row r="69" spans="1:8">
      <c r="A69" s="124" t="s">
        <v>562</v>
      </c>
      <c r="B69" s="200">
        <v>42</v>
      </c>
      <c r="C69" s="200">
        <v>47</v>
      </c>
      <c r="D69" s="124" t="s">
        <v>506</v>
      </c>
      <c r="E69" s="124" t="s">
        <v>458</v>
      </c>
      <c r="F69" s="151">
        <v>3000</v>
      </c>
      <c r="G69" s="151">
        <v>0</v>
      </c>
      <c r="H69" s="151">
        <v>0</v>
      </c>
    </row>
    <row r="70" spans="1:8" ht="28.5">
      <c r="A70" s="124" t="s">
        <v>616</v>
      </c>
      <c r="B70" s="200">
        <v>45</v>
      </c>
      <c r="C70" s="200">
        <v>202</v>
      </c>
      <c r="D70" s="124" t="s">
        <v>471</v>
      </c>
      <c r="E70" s="124" t="s">
        <v>508</v>
      </c>
      <c r="F70" s="151">
        <v>6000</v>
      </c>
      <c r="G70" s="151">
        <v>0</v>
      </c>
      <c r="H70" s="151">
        <v>0</v>
      </c>
    </row>
    <row r="71" spans="1:8" ht="28.5">
      <c r="A71" s="124" t="s">
        <v>509</v>
      </c>
      <c r="B71" s="200">
        <v>45</v>
      </c>
      <c r="C71" s="200">
        <v>202</v>
      </c>
      <c r="D71" s="124" t="s">
        <v>510</v>
      </c>
      <c r="E71" s="124" t="s">
        <v>508</v>
      </c>
      <c r="F71" s="151">
        <v>8000</v>
      </c>
      <c r="G71" s="151">
        <v>0</v>
      </c>
      <c r="H71" s="151">
        <v>0</v>
      </c>
    </row>
    <row r="72" spans="1:8" ht="28.5">
      <c r="A72" s="124" t="s">
        <v>617</v>
      </c>
      <c r="B72" s="200">
        <v>57</v>
      </c>
      <c r="C72" s="200">
        <v>242</v>
      </c>
      <c r="D72" s="124" t="s">
        <v>471</v>
      </c>
      <c r="E72" s="124" t="s">
        <v>508</v>
      </c>
      <c r="F72" s="151">
        <v>7000</v>
      </c>
      <c r="G72" s="151">
        <v>0</v>
      </c>
      <c r="H72" s="151">
        <v>0</v>
      </c>
    </row>
    <row r="73" spans="1:8" ht="28.5">
      <c r="A73" s="124" t="s">
        <v>512</v>
      </c>
      <c r="B73" s="200">
        <v>57</v>
      </c>
      <c r="C73" s="200">
        <v>242</v>
      </c>
      <c r="D73" s="124" t="s">
        <v>510</v>
      </c>
      <c r="E73" s="124" t="s">
        <v>508</v>
      </c>
      <c r="F73" s="151">
        <v>10000</v>
      </c>
      <c r="G73" s="151">
        <v>0</v>
      </c>
      <c r="H73" s="151">
        <v>0</v>
      </c>
    </row>
    <row r="74" spans="1:8" ht="28.5">
      <c r="A74" s="124" t="s">
        <v>563</v>
      </c>
      <c r="B74" s="200"/>
      <c r="C74" s="200"/>
      <c r="D74" s="124" t="s">
        <v>433</v>
      </c>
      <c r="E74" s="124" t="s">
        <v>488</v>
      </c>
      <c r="F74" s="151">
        <v>0</v>
      </c>
      <c r="G74" s="151">
        <v>96000</v>
      </c>
      <c r="H74" s="151">
        <v>0</v>
      </c>
    </row>
    <row r="75" spans="1:8" ht="28.5">
      <c r="A75" s="124" t="s">
        <v>564</v>
      </c>
      <c r="B75" s="200">
        <v>232</v>
      </c>
      <c r="C75" s="200">
        <v>232</v>
      </c>
      <c r="D75" s="124" t="s">
        <v>454</v>
      </c>
      <c r="E75" s="124" t="s">
        <v>455</v>
      </c>
      <c r="F75" s="151">
        <v>8000</v>
      </c>
      <c r="G75" s="151">
        <v>96000</v>
      </c>
      <c r="H75" s="151">
        <v>0</v>
      </c>
    </row>
    <row r="76" spans="1:8" ht="28.5">
      <c r="A76" s="124" t="s">
        <v>513</v>
      </c>
      <c r="B76" s="200">
        <v>232</v>
      </c>
      <c r="C76" s="200">
        <v>79</v>
      </c>
      <c r="D76" s="124" t="s">
        <v>485</v>
      </c>
      <c r="E76" s="124" t="s">
        <v>486</v>
      </c>
      <c r="F76" s="151">
        <v>10000</v>
      </c>
      <c r="G76" s="151">
        <v>0</v>
      </c>
      <c r="H76" s="151">
        <v>0</v>
      </c>
    </row>
    <row r="77" spans="1:8" ht="28.5">
      <c r="A77" s="124" t="s">
        <v>514</v>
      </c>
      <c r="B77" s="200">
        <v>232</v>
      </c>
      <c r="C77" s="200">
        <v>254</v>
      </c>
      <c r="D77" s="124" t="s">
        <v>485</v>
      </c>
      <c r="E77" s="124" t="s">
        <v>486</v>
      </c>
      <c r="F77" s="151">
        <v>15000</v>
      </c>
      <c r="G77" s="151">
        <v>0</v>
      </c>
      <c r="H77" s="151">
        <v>0</v>
      </c>
    </row>
    <row r="78" spans="1:8" ht="28.5">
      <c r="A78" s="124" t="s">
        <v>515</v>
      </c>
      <c r="B78" s="200">
        <v>232</v>
      </c>
      <c r="C78" s="200">
        <v>234</v>
      </c>
      <c r="D78" s="124" t="s">
        <v>485</v>
      </c>
      <c r="E78" s="124" t="s">
        <v>486</v>
      </c>
      <c r="F78" s="151">
        <v>18000</v>
      </c>
      <c r="G78" s="151">
        <v>0</v>
      </c>
      <c r="H78" s="151">
        <v>0</v>
      </c>
    </row>
    <row r="79" spans="1:8" ht="28.5">
      <c r="A79" s="124" t="s">
        <v>516</v>
      </c>
      <c r="B79" s="200">
        <v>232</v>
      </c>
      <c r="C79" s="200">
        <v>304</v>
      </c>
      <c r="D79" s="124" t="s">
        <v>485</v>
      </c>
      <c r="E79" s="124" t="s">
        <v>486</v>
      </c>
      <c r="F79" s="151">
        <v>20000</v>
      </c>
      <c r="G79" s="151">
        <v>0</v>
      </c>
      <c r="H79" s="151">
        <v>0</v>
      </c>
    </row>
    <row r="80" spans="1:8" ht="28.5">
      <c r="A80" s="124" t="s">
        <v>517</v>
      </c>
      <c r="B80" s="200">
        <v>232</v>
      </c>
      <c r="C80" s="200">
        <v>379</v>
      </c>
      <c r="D80" s="124" t="s">
        <v>485</v>
      </c>
      <c r="E80" s="124" t="s">
        <v>486</v>
      </c>
      <c r="F80" s="151">
        <v>23000</v>
      </c>
      <c r="G80" s="151">
        <v>0</v>
      </c>
      <c r="H80" s="151">
        <v>0</v>
      </c>
    </row>
    <row r="81" spans="1:8" ht="28.5">
      <c r="A81" s="124" t="s">
        <v>518</v>
      </c>
      <c r="B81" s="200">
        <v>232</v>
      </c>
      <c r="C81" s="200">
        <v>454</v>
      </c>
      <c r="D81" s="124" t="s">
        <v>485</v>
      </c>
      <c r="E81" s="124" t="s">
        <v>486</v>
      </c>
      <c r="F81" s="151">
        <v>25000</v>
      </c>
      <c r="G81" s="151">
        <v>0</v>
      </c>
      <c r="H81" s="151">
        <v>0</v>
      </c>
    </row>
    <row r="82" spans="1:8" ht="42.75">
      <c r="A82" s="124" t="s">
        <v>519</v>
      </c>
      <c r="B82" s="200">
        <v>32</v>
      </c>
      <c r="C82" s="200">
        <v>51</v>
      </c>
      <c r="D82" s="124" t="s">
        <v>520</v>
      </c>
      <c r="E82" s="124" t="s">
        <v>521</v>
      </c>
      <c r="F82" s="151">
        <v>4000</v>
      </c>
      <c r="G82" s="151">
        <v>0</v>
      </c>
      <c r="H82" s="151">
        <v>0</v>
      </c>
    </row>
    <row r="83" spans="1:8" ht="42.75">
      <c r="A83" s="124" t="s">
        <v>522</v>
      </c>
      <c r="B83" s="200">
        <v>32</v>
      </c>
      <c r="C83" s="200">
        <v>100</v>
      </c>
      <c r="D83" s="124" t="s">
        <v>520</v>
      </c>
      <c r="E83" s="124" t="s">
        <v>523</v>
      </c>
      <c r="F83" s="151">
        <v>4000</v>
      </c>
      <c r="G83" s="151">
        <v>0</v>
      </c>
      <c r="H83" s="151">
        <v>0</v>
      </c>
    </row>
    <row r="84" spans="1:8" ht="28.5">
      <c r="A84" s="124" t="s">
        <v>565</v>
      </c>
      <c r="B84" s="200">
        <v>74</v>
      </c>
      <c r="C84" s="200">
        <v>204</v>
      </c>
      <c r="D84" s="124" t="s">
        <v>524</v>
      </c>
      <c r="E84" s="124" t="s">
        <v>480</v>
      </c>
      <c r="F84" s="151">
        <v>6000</v>
      </c>
      <c r="G84" s="151">
        <v>17000</v>
      </c>
      <c r="H84" s="151">
        <v>21000</v>
      </c>
    </row>
    <row r="85" spans="1:8" ht="28.5">
      <c r="A85" s="124" t="s">
        <v>566</v>
      </c>
      <c r="B85" s="200">
        <v>74</v>
      </c>
      <c r="C85" s="200">
        <v>204</v>
      </c>
      <c r="D85" s="124" t="s">
        <v>524</v>
      </c>
      <c r="E85" s="124" t="s">
        <v>480</v>
      </c>
      <c r="F85" s="151">
        <v>6000</v>
      </c>
      <c r="G85" s="151">
        <v>17000</v>
      </c>
      <c r="H85" s="151">
        <v>18000</v>
      </c>
    </row>
    <row r="86" spans="1:8" ht="28.5">
      <c r="A86" s="124" t="s">
        <v>567</v>
      </c>
      <c r="B86" s="200">
        <v>74</v>
      </c>
      <c r="C86" s="200">
        <v>204</v>
      </c>
      <c r="D86" s="124" t="s">
        <v>524</v>
      </c>
      <c r="E86" s="124" t="s">
        <v>480</v>
      </c>
      <c r="F86" s="151">
        <v>6000</v>
      </c>
      <c r="G86" s="151">
        <v>17000</v>
      </c>
      <c r="H86" s="151">
        <v>10000</v>
      </c>
    </row>
    <row r="87" spans="1:8">
      <c r="A87" s="124" t="s">
        <v>568</v>
      </c>
      <c r="B87" s="200">
        <v>74</v>
      </c>
      <c r="C87" s="200">
        <v>204</v>
      </c>
      <c r="D87" s="124" t="s">
        <v>524</v>
      </c>
      <c r="E87" s="124" t="s">
        <v>480</v>
      </c>
      <c r="F87" s="151">
        <v>6000</v>
      </c>
      <c r="G87" s="151">
        <v>0</v>
      </c>
      <c r="H87" s="151">
        <v>0</v>
      </c>
    </row>
    <row r="88" spans="1:8" ht="28.5">
      <c r="A88" s="124" t="s">
        <v>569</v>
      </c>
      <c r="B88" s="200">
        <v>74</v>
      </c>
      <c r="C88" s="200">
        <v>204</v>
      </c>
      <c r="D88" s="124" t="s">
        <v>524</v>
      </c>
      <c r="E88" s="124" t="s">
        <v>480</v>
      </c>
      <c r="F88" s="151">
        <v>6000</v>
      </c>
      <c r="G88" s="151">
        <v>17000</v>
      </c>
      <c r="H88" s="151">
        <v>0</v>
      </c>
    </row>
    <row r="89" spans="1:8" ht="28.5">
      <c r="A89" s="124" t="s">
        <v>570</v>
      </c>
      <c r="B89" s="200">
        <v>79</v>
      </c>
      <c r="C89" s="200">
        <v>224</v>
      </c>
      <c r="D89" s="124" t="s">
        <v>524</v>
      </c>
      <c r="E89" s="124" t="s">
        <v>480</v>
      </c>
      <c r="F89" s="151">
        <v>7000</v>
      </c>
      <c r="G89" s="151">
        <v>17000</v>
      </c>
      <c r="H89" s="151">
        <v>21000</v>
      </c>
    </row>
    <row r="90" spans="1:8" ht="28.5">
      <c r="A90" s="124" t="s">
        <v>571</v>
      </c>
      <c r="B90" s="200">
        <v>79</v>
      </c>
      <c r="C90" s="200">
        <v>224</v>
      </c>
      <c r="D90" s="124" t="s">
        <v>524</v>
      </c>
      <c r="E90" s="124" t="s">
        <v>480</v>
      </c>
      <c r="F90" s="151">
        <v>7000</v>
      </c>
      <c r="G90" s="151">
        <v>17000</v>
      </c>
      <c r="H90" s="151">
        <v>18000</v>
      </c>
    </row>
    <row r="91" spans="1:8" ht="28.5">
      <c r="A91" s="124" t="s">
        <v>572</v>
      </c>
      <c r="B91" s="200">
        <v>79</v>
      </c>
      <c r="C91" s="200">
        <v>224</v>
      </c>
      <c r="D91" s="124" t="s">
        <v>524</v>
      </c>
      <c r="E91" s="124" t="s">
        <v>480</v>
      </c>
      <c r="F91" s="151">
        <v>7000</v>
      </c>
      <c r="G91" s="151">
        <v>17000</v>
      </c>
      <c r="H91" s="151">
        <v>10000</v>
      </c>
    </row>
    <row r="92" spans="1:8">
      <c r="A92" s="124" t="s">
        <v>573</v>
      </c>
      <c r="B92" s="200">
        <v>79</v>
      </c>
      <c r="C92" s="200">
        <v>224</v>
      </c>
      <c r="D92" s="124" t="s">
        <v>524</v>
      </c>
      <c r="E92" s="124" t="s">
        <v>480</v>
      </c>
      <c r="F92" s="151">
        <v>7000</v>
      </c>
      <c r="G92" s="151">
        <v>0</v>
      </c>
      <c r="H92" s="151">
        <v>0</v>
      </c>
    </row>
    <row r="93" spans="1:8" ht="28.5">
      <c r="A93" s="124" t="s">
        <v>574</v>
      </c>
      <c r="B93" s="200">
        <v>79</v>
      </c>
      <c r="C93" s="200">
        <v>224</v>
      </c>
      <c r="D93" s="124" t="s">
        <v>524</v>
      </c>
      <c r="E93" s="124" t="s">
        <v>480</v>
      </c>
      <c r="F93" s="151">
        <v>7000</v>
      </c>
      <c r="G93" s="151">
        <v>17000</v>
      </c>
      <c r="H93" s="151">
        <v>0</v>
      </c>
    </row>
    <row r="94" spans="1:8" ht="28.5">
      <c r="A94" s="124" t="s">
        <v>575</v>
      </c>
      <c r="B94" s="200">
        <v>94</v>
      </c>
      <c r="C94" s="200">
        <v>304</v>
      </c>
      <c r="D94" s="124" t="s">
        <v>524</v>
      </c>
      <c r="E94" s="124" t="s">
        <v>480</v>
      </c>
      <c r="F94" s="151">
        <v>8000</v>
      </c>
      <c r="G94" s="151">
        <v>19000</v>
      </c>
      <c r="H94" s="151">
        <v>21000</v>
      </c>
    </row>
    <row r="95" spans="1:8" ht="28.5">
      <c r="A95" s="124" t="s">
        <v>576</v>
      </c>
      <c r="B95" s="200">
        <v>94</v>
      </c>
      <c r="C95" s="200">
        <v>304</v>
      </c>
      <c r="D95" s="124" t="s">
        <v>524</v>
      </c>
      <c r="E95" s="124" t="s">
        <v>480</v>
      </c>
      <c r="F95" s="151">
        <v>8000</v>
      </c>
      <c r="G95" s="151">
        <v>19000</v>
      </c>
      <c r="H95" s="151">
        <v>18000</v>
      </c>
    </row>
    <row r="96" spans="1:8" ht="28.5">
      <c r="A96" s="124" t="s">
        <v>577</v>
      </c>
      <c r="B96" s="200">
        <v>94</v>
      </c>
      <c r="C96" s="200">
        <v>304</v>
      </c>
      <c r="D96" s="124" t="s">
        <v>524</v>
      </c>
      <c r="E96" s="124" t="s">
        <v>480</v>
      </c>
      <c r="F96" s="151">
        <v>8000</v>
      </c>
      <c r="G96" s="151">
        <v>19000</v>
      </c>
      <c r="H96" s="151">
        <v>10000</v>
      </c>
    </row>
    <row r="97" spans="1:8">
      <c r="A97" s="124" t="s">
        <v>578</v>
      </c>
      <c r="B97" s="200">
        <v>94</v>
      </c>
      <c r="C97" s="200">
        <v>304</v>
      </c>
      <c r="D97" s="124" t="s">
        <v>524</v>
      </c>
      <c r="E97" s="124" t="s">
        <v>480</v>
      </c>
      <c r="F97" s="151">
        <v>8000</v>
      </c>
      <c r="G97" s="151">
        <v>0</v>
      </c>
      <c r="H97" s="151">
        <v>0</v>
      </c>
    </row>
    <row r="98" spans="1:8" ht="28.5">
      <c r="A98" s="124" t="s">
        <v>579</v>
      </c>
      <c r="B98" s="200">
        <v>94</v>
      </c>
      <c r="C98" s="200">
        <v>304</v>
      </c>
      <c r="D98" s="124" t="s">
        <v>524</v>
      </c>
      <c r="E98" s="124" t="s">
        <v>480</v>
      </c>
      <c r="F98" s="151">
        <v>8000</v>
      </c>
      <c r="G98" s="151">
        <v>19000</v>
      </c>
      <c r="H98" s="151">
        <v>0</v>
      </c>
    </row>
    <row r="99" spans="1:8">
      <c r="A99" s="124" t="s">
        <v>525</v>
      </c>
      <c r="B99" s="200"/>
      <c r="C99" s="200"/>
      <c r="D99" s="124"/>
      <c r="E99" s="124"/>
      <c r="F99" s="151">
        <v>0</v>
      </c>
      <c r="G99" s="151">
        <v>0</v>
      </c>
      <c r="H99" s="151">
        <v>0</v>
      </c>
    </row>
    <row r="100" spans="1:8">
      <c r="A100" s="124" t="s">
        <v>527</v>
      </c>
      <c r="B100" s="200"/>
      <c r="C100" s="200"/>
      <c r="D100" s="124"/>
      <c r="E100" s="124"/>
      <c r="F100" s="151">
        <v>0</v>
      </c>
      <c r="G100" s="151">
        <v>0</v>
      </c>
      <c r="H100" s="151">
        <v>0</v>
      </c>
    </row>
    <row r="101" spans="1:8">
      <c r="A101" s="124"/>
      <c r="B101" s="200"/>
      <c r="C101" s="200"/>
      <c r="D101" s="124"/>
      <c r="E101" s="124"/>
      <c r="F101" s="151"/>
      <c r="G101" s="151"/>
      <c r="H101" s="151"/>
    </row>
    <row r="102" spans="1:8">
      <c r="A102" s="124"/>
      <c r="B102" s="200"/>
      <c r="C102" s="200"/>
      <c r="D102" s="124"/>
      <c r="E102" s="124"/>
      <c r="F102" s="151"/>
      <c r="G102" s="151"/>
      <c r="H102" s="151"/>
    </row>
    <row r="103" spans="1:8">
      <c r="A103" s="124"/>
      <c r="B103" s="200"/>
      <c r="C103" s="200"/>
      <c r="D103" s="124"/>
      <c r="E103" s="124"/>
      <c r="F103" s="151"/>
      <c r="G103" s="151"/>
      <c r="H103" s="151"/>
    </row>
    <row r="104" spans="1:8">
      <c r="A104" s="124"/>
      <c r="B104" s="200"/>
      <c r="C104" s="200"/>
      <c r="D104" s="124"/>
      <c r="E104" s="124"/>
      <c r="F104" s="151"/>
      <c r="G104" s="151"/>
      <c r="H104" s="151"/>
    </row>
    <row r="105" spans="1:8">
      <c r="A105" s="124"/>
      <c r="B105" s="200"/>
      <c r="C105" s="200"/>
      <c r="D105" s="124"/>
      <c r="E105" s="124"/>
      <c r="F105" s="151"/>
      <c r="G105" s="151"/>
      <c r="H105" s="151"/>
    </row>
    <row r="106" spans="1:8">
      <c r="A106" s="125"/>
      <c r="B106" s="199"/>
      <c r="C106" s="199"/>
      <c r="D106" s="125"/>
      <c r="E106" s="125"/>
      <c r="F106" s="151"/>
      <c r="G106" s="151"/>
      <c r="H106" s="151"/>
    </row>
    <row r="107" spans="1:8">
      <c r="A107" s="125"/>
      <c r="B107" s="199"/>
      <c r="C107" s="199"/>
      <c r="D107" s="125"/>
      <c r="E107" s="125"/>
      <c r="F107" s="151"/>
      <c r="G107" s="151"/>
      <c r="H107" s="151"/>
    </row>
    <row r="108" spans="1:8">
      <c r="A108" s="125"/>
      <c r="B108" s="199"/>
      <c r="C108" s="199"/>
      <c r="D108" s="125"/>
      <c r="E108" s="125"/>
      <c r="F108" s="151"/>
      <c r="G108" s="151"/>
      <c r="H108" s="151"/>
    </row>
    <row r="109" spans="1:8">
      <c r="A109" s="125"/>
      <c r="B109" s="199"/>
      <c r="C109" s="199"/>
      <c r="D109" s="125"/>
      <c r="E109" s="125"/>
      <c r="F109" s="151"/>
      <c r="G109" s="151"/>
      <c r="H109" s="151"/>
    </row>
    <row r="110" spans="1:8">
      <c r="A110" s="125"/>
      <c r="B110" s="199"/>
      <c r="C110" s="199"/>
      <c r="D110" s="125"/>
      <c r="E110" s="125"/>
      <c r="F110" s="151"/>
      <c r="G110" s="151"/>
      <c r="H110" s="151"/>
    </row>
    <row r="111" spans="1:8">
      <c r="A111" s="125"/>
      <c r="B111" s="199"/>
      <c r="C111" s="199"/>
      <c r="D111" s="125"/>
      <c r="E111" s="125"/>
      <c r="F111" s="151"/>
      <c r="G111" s="151"/>
      <c r="H111" s="151"/>
    </row>
    <row r="112" spans="1:8">
      <c r="A112" s="125"/>
      <c r="B112" s="199"/>
      <c r="C112" s="199"/>
      <c r="D112" s="125"/>
      <c r="E112" s="125"/>
      <c r="F112" s="151"/>
      <c r="G112" s="151"/>
      <c r="H112" s="151"/>
    </row>
    <row r="113" spans="1:8">
      <c r="A113" s="125"/>
      <c r="B113" s="199"/>
      <c r="C113" s="199"/>
      <c r="D113" s="125"/>
      <c r="E113" s="125"/>
      <c r="F113" s="151"/>
      <c r="G113" s="151"/>
      <c r="H113" s="151"/>
    </row>
    <row r="114" spans="1:8">
      <c r="A114" s="125"/>
      <c r="B114" s="199"/>
      <c r="C114" s="199"/>
      <c r="D114" s="125"/>
      <c r="E114" s="125"/>
      <c r="F114" s="151"/>
      <c r="G114" s="151"/>
      <c r="H114" s="151"/>
    </row>
    <row r="115" spans="1:8">
      <c r="A115" s="125"/>
      <c r="B115" s="199"/>
      <c r="C115" s="199"/>
      <c r="D115" s="125"/>
      <c r="E115" s="125"/>
      <c r="F115" s="151"/>
      <c r="G115" s="151"/>
      <c r="H115" s="151"/>
    </row>
    <row r="116" spans="1:8">
      <c r="A116" s="125"/>
      <c r="B116" s="199"/>
      <c r="C116" s="199"/>
      <c r="D116" s="125"/>
      <c r="E116" s="125"/>
      <c r="F116" s="151"/>
      <c r="G116" s="151"/>
      <c r="H116" s="151"/>
    </row>
    <row r="117" spans="1:8">
      <c r="A117" s="125"/>
      <c r="B117" s="199"/>
      <c r="C117" s="199"/>
      <c r="D117" s="125"/>
      <c r="E117" s="125"/>
      <c r="F117" s="151"/>
      <c r="G117" s="151"/>
      <c r="H117" s="151"/>
    </row>
    <row r="118" spans="1:8">
      <c r="A118" s="125"/>
      <c r="B118" s="199"/>
      <c r="C118" s="199"/>
      <c r="D118" s="125"/>
      <c r="E118" s="125"/>
      <c r="F118" s="151"/>
      <c r="G118" s="151"/>
      <c r="H118" s="151"/>
    </row>
    <row r="119" spans="1:8">
      <c r="A119" s="125"/>
      <c r="B119" s="199"/>
      <c r="C119" s="199"/>
      <c r="D119" s="125"/>
      <c r="E119" s="125"/>
      <c r="F119" s="151"/>
      <c r="G119" s="151"/>
      <c r="H119" s="151"/>
    </row>
    <row r="120" spans="1:8">
      <c r="A120" s="125"/>
      <c r="B120" s="199"/>
      <c r="C120" s="199"/>
      <c r="D120" s="125"/>
      <c r="E120" s="125"/>
      <c r="F120" s="151"/>
      <c r="G120" s="151"/>
      <c r="H120" s="151"/>
    </row>
    <row r="121" spans="1:8">
      <c r="A121" s="125"/>
      <c r="B121" s="199"/>
      <c r="C121" s="199"/>
      <c r="D121" s="125"/>
      <c r="E121" s="125"/>
      <c r="F121" s="151"/>
      <c r="G121" s="151"/>
      <c r="H121" s="151"/>
    </row>
    <row r="122" spans="1:8">
      <c r="A122" s="125"/>
      <c r="B122" s="199"/>
      <c r="C122" s="199"/>
      <c r="D122" s="125"/>
      <c r="E122" s="125"/>
      <c r="F122" s="151"/>
      <c r="G122" s="151"/>
      <c r="H122" s="151"/>
    </row>
    <row r="123" spans="1:8">
      <c r="A123" s="125"/>
      <c r="B123" s="199"/>
      <c r="C123" s="199"/>
      <c r="D123" s="125"/>
      <c r="E123" s="125"/>
      <c r="F123" s="151"/>
      <c r="G123" s="151"/>
      <c r="H123" s="151"/>
    </row>
    <row r="124" spans="1:8">
      <c r="A124" s="125"/>
      <c r="B124" s="199"/>
      <c r="C124" s="199"/>
      <c r="D124" s="125"/>
      <c r="E124" s="125"/>
      <c r="F124" s="151"/>
      <c r="G124" s="151"/>
      <c r="H124" s="151"/>
    </row>
    <row r="125" spans="1:8">
      <c r="A125" s="125"/>
      <c r="B125" s="199"/>
      <c r="C125" s="199"/>
      <c r="D125" s="125"/>
      <c r="E125" s="125"/>
      <c r="F125" s="151"/>
      <c r="G125" s="151"/>
      <c r="H125" s="151"/>
    </row>
    <row r="126" spans="1:8">
      <c r="A126" s="125"/>
      <c r="B126" s="199"/>
      <c r="C126" s="199"/>
      <c r="D126" s="125"/>
      <c r="E126" s="125"/>
      <c r="F126" s="151"/>
      <c r="G126" s="151"/>
      <c r="H126" s="151"/>
    </row>
    <row r="127" spans="1:8">
      <c r="A127" s="125"/>
      <c r="B127" s="199"/>
      <c r="C127" s="199"/>
      <c r="D127" s="125"/>
      <c r="E127" s="125"/>
      <c r="F127" s="151"/>
      <c r="G127" s="151"/>
      <c r="H127" s="151"/>
    </row>
    <row r="128" spans="1:8">
      <c r="F128" s="151"/>
      <c r="G128" s="151"/>
      <c r="H128" s="151"/>
    </row>
    <row r="129" spans="6:8">
      <c r="F129" s="151"/>
      <c r="G129" s="151"/>
      <c r="H129" s="151"/>
    </row>
    <row r="130" spans="6:8">
      <c r="F130" s="151"/>
      <c r="G130" s="151"/>
      <c r="H130" s="151"/>
    </row>
    <row r="131" spans="6:8">
      <c r="F131" s="151"/>
      <c r="G131" s="151"/>
      <c r="H131" s="151"/>
    </row>
    <row r="132" spans="6:8">
      <c r="F132" s="151"/>
      <c r="G132" s="151"/>
      <c r="H132" s="151"/>
    </row>
    <row r="133" spans="6:8">
      <c r="F133" s="151"/>
      <c r="G133" s="151"/>
      <c r="H133" s="151"/>
    </row>
    <row r="134" spans="6:8">
      <c r="F134" s="151"/>
      <c r="G134" s="151"/>
      <c r="H134" s="151"/>
    </row>
    <row r="135" spans="6:8">
      <c r="F135" s="151"/>
      <c r="G135" s="151"/>
      <c r="H135" s="151"/>
    </row>
    <row r="136" spans="6:8">
      <c r="F136" s="151"/>
      <c r="G136" s="151"/>
      <c r="H136" s="151"/>
    </row>
    <row r="137" spans="6:8">
      <c r="F137" s="151"/>
      <c r="G137" s="151"/>
      <c r="H137" s="15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10</vt:i4>
      </vt:variant>
    </vt:vector>
  </HeadingPairs>
  <TitlesOfParts>
    <vt:vector size="19" baseType="lpstr">
      <vt:lpstr>Valores</vt:lpstr>
      <vt:lpstr>Nota de venta</vt:lpstr>
      <vt:lpstr>Cotización</vt:lpstr>
      <vt:lpstr>OP</vt:lpstr>
      <vt:lpstr>OP TELAS</vt:lpstr>
      <vt:lpstr>hoja1</vt:lpstr>
      <vt:lpstr>OP cajas</vt:lpstr>
      <vt:lpstr>NV CAJAS (BL)</vt:lpstr>
      <vt:lpstr>Productos</vt:lpstr>
      <vt:lpstr>Cotización!___Area_de_impresión</vt:lpstr>
      <vt:lpstr>'OP TELAS'!___Area_de_impresión</vt:lpstr>
      <vt:lpstr>'NV CAJAS (BL)'!__Area_de_impresión</vt:lpstr>
      <vt:lpstr>Cotización!_Area_de_impresión</vt:lpstr>
      <vt:lpstr>hoja1!_Area_de_impresión</vt:lpstr>
      <vt:lpstr>'NV CAJAS (BL)'!_Area_de_impresión</vt:lpstr>
      <vt:lpstr>Cotización!Área_de_impresión</vt:lpstr>
      <vt:lpstr>OP!Área_de_impresión</vt:lpstr>
      <vt:lpstr>'OP cajas'!Área_de_impresión</vt:lpstr>
      <vt:lpstr>'OP TELAS'!Área_de_impresión</vt:lpstr>
    </vt:vector>
  </TitlesOfParts>
  <Company>www.intercambiosvirtuales.org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www.intercambiosvirtuales.org</dc:creator>
  <cp:lastModifiedBy>Bruno Carrasco</cp:lastModifiedBy>
  <cp:lastPrinted>2024-05-07T15:24:02Z</cp:lastPrinted>
  <dcterms:created xsi:type="dcterms:W3CDTF">2011-10-10T19:35:46Z</dcterms:created>
  <dcterms:modified xsi:type="dcterms:W3CDTF">2026-05-11T04:24:01Z</dcterms:modified>
</cp:coreProperties>
</file>